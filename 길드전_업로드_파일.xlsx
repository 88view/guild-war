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J\Downloads\Rank_cap\길드전포인트\업로드용\"/>
    </mc:Choice>
  </mc:AlternateContent>
  <xr:revisionPtr revIDLastSave="0" documentId="13_ncr:1_{A592081B-B3C7-4BC2-8FB2-62187C07834D}" xr6:coauthVersionLast="47" xr6:coauthVersionMax="47" xr10:uidLastSave="{00000000-0000-0000-0000-000000000000}"/>
  <bookViews>
    <workbookView xWindow="28680" yWindow="-6135" windowWidth="38640" windowHeight="21840" tabRatio="500" activeTab="3" xr2:uid="{00000000-000D-0000-FFFF-FFFF00000000}"/>
  </bookViews>
  <sheets>
    <sheet name="기준표" sheetId="1" r:id="rId1"/>
    <sheet name="2026-06" sheetId="2" r:id="rId2"/>
    <sheet name="2026-07" sheetId="3" r:id="rId3"/>
    <sheet name="별칭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85" i="3" l="1"/>
  <c r="E384" i="3"/>
  <c r="E383" i="3"/>
  <c r="E382" i="3"/>
  <c r="E381" i="3"/>
  <c r="E380" i="3"/>
  <c r="E379" i="3"/>
  <c r="E378" i="3"/>
  <c r="E377" i="3"/>
  <c r="E376" i="3"/>
  <c r="E375" i="3"/>
  <c r="E374" i="3"/>
  <c r="E373" i="3"/>
  <c r="E372" i="3"/>
  <c r="E371" i="3"/>
  <c r="E370" i="3"/>
  <c r="E369" i="3"/>
  <c r="E368" i="3"/>
  <c r="E367" i="3"/>
  <c r="E366" i="3"/>
  <c r="E365" i="3"/>
  <c r="E364" i="3"/>
  <c r="E363" i="3"/>
  <c r="E362" i="3"/>
  <c r="E361" i="3"/>
  <c r="E360" i="3"/>
  <c r="E359" i="3"/>
  <c r="E358" i="3"/>
  <c r="E357" i="3"/>
  <c r="E356" i="3"/>
  <c r="E355" i="3"/>
  <c r="E354" i="3"/>
  <c r="E353" i="3"/>
  <c r="E352" i="3"/>
  <c r="E351" i="3"/>
  <c r="E350" i="3"/>
  <c r="E349" i="3"/>
  <c r="E348" i="3"/>
  <c r="E347" i="3"/>
  <c r="E346" i="3"/>
  <c r="E345" i="3"/>
  <c r="E344" i="3"/>
  <c r="E343" i="3"/>
  <c r="E342" i="3"/>
  <c r="E341" i="3"/>
  <c r="E340" i="3"/>
  <c r="E339" i="3"/>
  <c r="E338" i="3"/>
  <c r="E337" i="3"/>
  <c r="E336" i="3"/>
  <c r="E335" i="3"/>
  <c r="E334" i="3"/>
  <c r="E333" i="3"/>
  <c r="E332" i="3"/>
  <c r="E331" i="3"/>
  <c r="E330" i="3"/>
  <c r="E329" i="3"/>
  <c r="E328" i="3"/>
  <c r="E327" i="3"/>
  <c r="E326" i="3"/>
  <c r="E325" i="3"/>
  <c r="E324" i="3"/>
  <c r="E323" i="3"/>
  <c r="E322" i="3"/>
  <c r="E321" i="3"/>
  <c r="E320" i="3"/>
  <c r="E319" i="3"/>
  <c r="E318" i="3"/>
  <c r="E317" i="3"/>
  <c r="E316" i="3"/>
  <c r="E315" i="3"/>
  <c r="E314" i="3"/>
  <c r="E313" i="3"/>
  <c r="E312" i="3"/>
  <c r="E311" i="3"/>
  <c r="E310" i="3"/>
  <c r="E309" i="3"/>
  <c r="E308" i="3"/>
  <c r="E307" i="3"/>
  <c r="E306" i="3"/>
  <c r="E305" i="3"/>
  <c r="E304" i="3"/>
  <c r="E303" i="3"/>
  <c r="E302" i="3"/>
  <c r="E301" i="3"/>
  <c r="E300" i="3"/>
  <c r="E299" i="3"/>
  <c r="E298" i="3"/>
  <c r="E297" i="3"/>
  <c r="E296" i="3"/>
  <c r="E295" i="3"/>
  <c r="E294" i="3"/>
  <c r="E293" i="3"/>
  <c r="E292" i="3"/>
  <c r="E291" i="3"/>
  <c r="E290" i="3"/>
  <c r="E289" i="3"/>
  <c r="E288" i="3"/>
  <c r="E287" i="3"/>
  <c r="E286" i="3"/>
  <c r="E285" i="3"/>
  <c r="E284" i="3"/>
  <c r="E283" i="3"/>
  <c r="E282" i="3"/>
  <c r="E281" i="3"/>
  <c r="E280" i="3"/>
  <c r="E279" i="3"/>
  <c r="E278" i="3"/>
  <c r="E277" i="3"/>
  <c r="E276" i="3"/>
  <c r="E275" i="3"/>
  <c r="E274" i="3"/>
  <c r="E273" i="3"/>
  <c r="E272" i="3"/>
  <c r="E271" i="3"/>
  <c r="E270" i="3"/>
  <c r="E269" i="3"/>
  <c r="E268" i="3"/>
  <c r="E267" i="3"/>
  <c r="E266" i="3"/>
  <c r="E265" i="3"/>
  <c r="E264" i="3"/>
  <c r="E263" i="3"/>
  <c r="E262" i="3"/>
  <c r="E261" i="3"/>
  <c r="E260" i="3"/>
  <c r="E259" i="3"/>
  <c r="E258" i="3"/>
  <c r="E257" i="3"/>
  <c r="E256" i="3"/>
  <c r="E255" i="3"/>
  <c r="E254" i="3"/>
  <c r="E253" i="3"/>
  <c r="E252" i="3"/>
  <c r="E251" i="3"/>
  <c r="E250" i="3"/>
  <c r="E249" i="3"/>
  <c r="E248" i="3"/>
  <c r="E247" i="3"/>
  <c r="E246" i="3"/>
  <c r="E245" i="3"/>
  <c r="E244" i="3"/>
  <c r="E243" i="3"/>
  <c r="E242" i="3"/>
  <c r="E241" i="3"/>
  <c r="E240" i="3"/>
  <c r="E239" i="3"/>
  <c r="E238" i="3"/>
  <c r="E237" i="3"/>
  <c r="E236" i="3"/>
  <c r="E235" i="3"/>
  <c r="E234" i="3"/>
  <c r="E233" i="3"/>
  <c r="E232" i="3"/>
  <c r="E231" i="3"/>
  <c r="E230" i="3"/>
  <c r="E229" i="3"/>
  <c r="E228" i="3"/>
  <c r="E227" i="3"/>
  <c r="E226" i="3"/>
  <c r="E225" i="3"/>
  <c r="E224" i="3"/>
  <c r="E223" i="3"/>
  <c r="E222" i="3"/>
  <c r="E221" i="3"/>
  <c r="E220" i="3"/>
  <c r="E219" i="3"/>
  <c r="E218" i="3"/>
  <c r="E217" i="3"/>
  <c r="E216" i="3"/>
  <c r="E215" i="3"/>
  <c r="E214" i="3"/>
  <c r="E213" i="3"/>
  <c r="E212" i="3"/>
  <c r="E211" i="3"/>
  <c r="E210" i="3"/>
  <c r="E209" i="3"/>
  <c r="E208" i="3"/>
  <c r="E207" i="3"/>
  <c r="E206" i="3"/>
  <c r="E205" i="3"/>
  <c r="E204" i="3"/>
  <c r="E203" i="3"/>
  <c r="E202" i="3"/>
  <c r="E201" i="3"/>
  <c r="E200" i="3"/>
  <c r="E199" i="3"/>
  <c r="E198" i="3"/>
  <c r="E197" i="3"/>
  <c r="E196" i="3"/>
  <c r="E195" i="3"/>
  <c r="E194" i="3"/>
  <c r="E193" i="3"/>
  <c r="E192" i="3"/>
  <c r="E191" i="3"/>
  <c r="E190" i="3"/>
  <c r="E189" i="3"/>
  <c r="E188" i="3"/>
  <c r="E187" i="3"/>
  <c r="E186" i="3"/>
  <c r="E185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E168" i="3"/>
  <c r="E167" i="3"/>
  <c r="E166" i="3"/>
  <c r="E165" i="3"/>
  <c r="E164" i="3"/>
  <c r="E163" i="3"/>
  <c r="E162" i="3"/>
  <c r="E161" i="3"/>
  <c r="E160" i="3"/>
  <c r="E159" i="3"/>
  <c r="E158" i="3"/>
  <c r="E157" i="3"/>
  <c r="E156" i="3"/>
  <c r="E155" i="3"/>
  <c r="E154" i="3"/>
  <c r="E153" i="3"/>
  <c r="E152" i="3"/>
  <c r="E151" i="3"/>
  <c r="E150" i="3"/>
  <c r="E149" i="3"/>
  <c r="E148" i="3"/>
  <c r="E147" i="3"/>
  <c r="E146" i="3"/>
  <c r="E145" i="3"/>
  <c r="E144" i="3"/>
  <c r="E143" i="3"/>
  <c r="E142" i="3"/>
  <c r="E141" i="3"/>
  <c r="E140" i="3"/>
  <c r="E139" i="3"/>
  <c r="E138" i="3"/>
  <c r="E137" i="3"/>
  <c r="E136" i="3"/>
  <c r="E135" i="3"/>
  <c r="E134" i="3"/>
  <c r="E133" i="3"/>
  <c r="E132" i="3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E91" i="3"/>
  <c r="E90" i="3"/>
  <c r="E89" i="3"/>
  <c r="E88" i="3"/>
  <c r="E87" i="3"/>
  <c r="E86" i="3"/>
  <c r="E85" i="3"/>
  <c r="E84" i="3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E62" i="3"/>
  <c r="E61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</calcChain>
</file>

<file path=xl/sharedStrings.xml><?xml version="1.0" encoding="utf-8"?>
<sst xmlns="http://schemas.openxmlformats.org/spreadsheetml/2006/main" count="4078" uniqueCount="199">
  <si>
    <t>과거닉네임</t>
  </si>
  <si>
    <t>현재닉네임</t>
  </si>
  <si>
    <t>이런들어떠하리저런들어떠하리</t>
  </si>
  <si>
    <t>코발트</t>
  </si>
  <si>
    <t>입담터는단소빌런</t>
  </si>
  <si>
    <t>여포의파죽지세</t>
  </si>
  <si>
    <t>365일진한메이크업에큰가발여성</t>
  </si>
  <si>
    <t>나는매일건조된새우를잘씹어먹는다</t>
  </si>
  <si>
    <t>포르투나</t>
  </si>
  <si>
    <t>노른</t>
  </si>
  <si>
    <t>안톤 쉬거</t>
  </si>
  <si>
    <t>이중주차 사이드채운후 연락두절</t>
  </si>
  <si>
    <t>당근없는중간매운맛의묽지않은카레</t>
  </si>
  <si>
    <t xml:space="preserve">자르반84세 </t>
  </si>
  <si>
    <t>세계최고미녀</t>
  </si>
  <si>
    <t xml:space="preserve">-프리저- </t>
  </si>
  <si>
    <t>w0w</t>
  </si>
  <si>
    <t>독여울</t>
  </si>
  <si>
    <t>뒤뚱뒤뚱펭귄</t>
  </si>
  <si>
    <t>김자르반102세</t>
  </si>
  <si>
    <t>뉴스나온그사람</t>
  </si>
  <si>
    <t>노크하시고익스키스미</t>
  </si>
  <si>
    <t>뺙센공주</t>
  </si>
  <si>
    <t>예쁜건다공주꺼야</t>
  </si>
  <si>
    <t>하한점수</t>
  </si>
  <si>
    <t>단계</t>
  </si>
  <si>
    <t>점수 범위</t>
  </si>
  <si>
    <t>1단계</t>
  </si>
  <si>
    <t>0 ~ 38,000</t>
  </si>
  <si>
    <t>2단계</t>
  </si>
  <si>
    <t>38,001 ~ 145,000</t>
  </si>
  <si>
    <t>3단계</t>
  </si>
  <si>
    <t>145,001 ~ 550,000</t>
  </si>
  <si>
    <t>4단계</t>
  </si>
  <si>
    <t>550,001 ~ 650,000</t>
  </si>
  <si>
    <t>5단계</t>
  </si>
  <si>
    <t>650,001 ~ 1,020,000</t>
  </si>
  <si>
    <t>6단계</t>
  </si>
  <si>
    <t>1,020,001 ~ 2,280,000</t>
  </si>
  <si>
    <t>7단계</t>
  </si>
  <si>
    <t>2,280,001 ~ 2,630,000</t>
  </si>
  <si>
    <t>8단계</t>
  </si>
  <si>
    <t>2,630,001 ~ 7,189,999</t>
  </si>
  <si>
    <t>9단계</t>
  </si>
  <si>
    <t>7,190,000 이상</t>
  </si>
  <si>
    <t>📦 월별 보관 — 2026-06  (날짜별 길드전 랭킹 누적)</t>
  </si>
  <si>
    <t>날짜</t>
  </si>
  <si>
    <t>순위</t>
  </si>
  <si>
    <t>플레이어</t>
  </si>
  <si>
    <t>점수</t>
  </si>
  <si>
    <t>2026-06-12</t>
  </si>
  <si>
    <t>독화살</t>
  </si>
  <si>
    <t>독살교육</t>
  </si>
  <si>
    <t>니면상시베리아</t>
  </si>
  <si>
    <t>독건담</t>
  </si>
  <si>
    <t>독한련</t>
  </si>
  <si>
    <t>모어쩌라고</t>
  </si>
  <si>
    <t>-프리저-</t>
  </si>
  <si>
    <t>눈밑에점찍고돌아온아내</t>
  </si>
  <si>
    <t>독홍시</t>
  </si>
  <si>
    <t>독방구핑</t>
  </si>
  <si>
    <t>왜요뭐</t>
  </si>
  <si>
    <t>별빛여신</t>
  </si>
  <si>
    <t>독로이지</t>
  </si>
  <si>
    <t>습격이다개스키야</t>
  </si>
  <si>
    <t>핑도노•훔치고•생각하는•편</t>
  </si>
  <si>
    <t>독아사</t>
  </si>
  <si>
    <t>독거노인춘삼</t>
  </si>
  <si>
    <t>할말있는데나중에말해줌</t>
  </si>
  <si>
    <t>Lv100 배회하는 좀비</t>
  </si>
  <si>
    <t>독그레핀</t>
  </si>
  <si>
    <t>떠들어봐안들린다</t>
  </si>
  <si>
    <t>명령라하지마라</t>
  </si>
  <si>
    <t>뮤지컬보러가서노래따라부르는놈</t>
  </si>
  <si>
    <t>독한다람쥐</t>
  </si>
  <si>
    <t>영화관에서결말스포한냔</t>
  </si>
  <si>
    <t>독파민</t>
  </si>
  <si>
    <t>여썰고</t>
  </si>
  <si>
    <t>단추가게</t>
  </si>
  <si>
    <t>티거Ya드랍더튀어</t>
  </si>
  <si>
    <t>독눈누눈누</t>
  </si>
  <si>
    <t>현금만받아</t>
  </si>
  <si>
    <t>진짜한입만나못믿니</t>
  </si>
  <si>
    <t>자르반84세</t>
  </si>
  <si>
    <t>독수리골드</t>
  </si>
  <si>
    <t>독잉교</t>
  </si>
  <si>
    <t>독그릭</t>
  </si>
  <si>
    <t>독약원샷</t>
  </si>
  <si>
    <t>독한월요일병</t>
  </si>
  <si>
    <t>독삼미</t>
  </si>
  <si>
    <t>엘베닫힘연타법</t>
  </si>
  <si>
    <t>독아크</t>
  </si>
  <si>
    <t>독아윤</t>
  </si>
  <si>
    <t>훔쳐뿟노</t>
  </si>
  <si>
    <t>괴도하미</t>
  </si>
  <si>
    <t>독후감상문</t>
  </si>
  <si>
    <t>독고독</t>
  </si>
  <si>
    <t>독철이</t>
  </si>
  <si>
    <t>독계탕</t>
  </si>
  <si>
    <t>독이즈</t>
  </si>
  <si>
    <t>독과점</t>
  </si>
  <si>
    <t>독터키캔씨Turkey1881</t>
  </si>
  <si>
    <t>악마인데순둥소예</t>
  </si>
  <si>
    <t>독팡팡</t>
  </si>
  <si>
    <t>독독쿠롱</t>
  </si>
  <si>
    <t>독골골</t>
  </si>
  <si>
    <t>독주</t>
  </si>
  <si>
    <t>2026-06-13</t>
  </si>
  <si>
    <t>엘베단힘연타법</t>
  </si>
  <si>
    <t>주니쯤</t>
  </si>
  <si>
    <t>1090</t>
  </si>
  <si>
    <t>린이</t>
  </si>
  <si>
    <t>독초치이입</t>
  </si>
  <si>
    <t>수색맨</t>
  </si>
  <si>
    <t>독레인-InfernoRain</t>
  </si>
  <si>
    <t>2026-06-15</t>
  </si>
  <si>
    <t>guild</t>
  </si>
  <si>
    <t>[ Vx3 ] Veni,Vidi,Vici</t>
  </si>
  <si>
    <t>떫은홍시</t>
  </si>
  <si>
    <t>승</t>
  </si>
  <si>
    <t>스무디에얼음빼주세요</t>
  </si>
  <si>
    <t>빨강맛</t>
  </si>
  <si>
    <t>아크으</t>
  </si>
  <si>
    <t>아사히</t>
  </si>
  <si>
    <t>미녀와야자수</t>
  </si>
  <si>
    <t>빡센공주</t>
  </si>
  <si>
    <t>명령하디마라</t>
  </si>
  <si>
    <t>햬녜도얜덀리는뒈</t>
  </si>
  <si>
    <t>쉰데렐라</t>
  </si>
  <si>
    <t>앞니로조사버리는토끼</t>
  </si>
  <si>
    <t>베놈이마깐데또까</t>
  </si>
  <si>
    <t>숲속모텔</t>
  </si>
  <si>
    <t>라면주면갈께</t>
  </si>
  <si>
    <t>2026-06-16</t>
  </si>
  <si>
    <t>2026-06-17</t>
  </si>
  <si>
    <t>시바스리갈</t>
  </si>
  <si>
    <t>순살소거기육전</t>
  </si>
  <si>
    <t>2026-06-18</t>
  </si>
  <si>
    <t>2026-06-19</t>
  </si>
  <si>
    <t>저썰고</t>
  </si>
  <si>
    <t>2026-06-22</t>
  </si>
  <si>
    <t>[ HARU ] 春ぽかぽか</t>
  </si>
  <si>
    <t>2026-06-23</t>
  </si>
  <si>
    <t>2026-06-24</t>
  </si>
  <si>
    <t>2026-06-25</t>
  </si>
  <si>
    <t>2026-06-26</t>
  </si>
  <si>
    <t>2026-06-27</t>
  </si>
  <si>
    <t>2026-06-29</t>
  </si>
  <si>
    <t>[ 주택보증 ] 헌집줄게 새집줘봐</t>
  </si>
  <si>
    <t>2026-06-30</t>
  </si>
  <si>
    <t>📦 월별 보관 — 2026-07  (날짜별 길드전 랭킹 누적)</t>
  </si>
  <si>
    <t>2026-07-01</t>
  </si>
  <si>
    <t>아쫌~</t>
  </si>
  <si>
    <t>마호~</t>
  </si>
  <si>
    <t>김팬더</t>
  </si>
  <si>
    <t>먼지털이</t>
  </si>
  <si>
    <t>썩은동아줄잡은할부지</t>
  </si>
  <si>
    <t>타워보스라푼젤</t>
  </si>
  <si>
    <t>풍기뮬란</t>
  </si>
  <si>
    <t>꽁룡~</t>
  </si>
  <si>
    <t>금쪽이랑</t>
  </si>
  <si>
    <t>결제할때만신발끈묶음</t>
  </si>
  <si>
    <t>1차선에서정속주행</t>
  </si>
  <si>
    <t>아기돼지삼합회</t>
  </si>
  <si>
    <t>시수기릿</t>
  </si>
  <si>
    <t>플란다스의개고생</t>
  </si>
  <si>
    <t>피티체조 마지막 구호만 외친다</t>
  </si>
  <si>
    <t>비타민C</t>
  </si>
  <si>
    <t>빨강망사촤촤</t>
  </si>
  <si>
    <t>왈왈야옹</t>
  </si>
  <si>
    <t>소원먹튀지니</t>
  </si>
  <si>
    <t>이상한나라의앨</t>
  </si>
  <si>
    <t>삐삐망사스타킹</t>
  </si>
  <si>
    <t>푸른등불</t>
  </si>
  <si>
    <t>제이~</t>
  </si>
  <si>
    <t>이뱅쓰</t>
  </si>
  <si>
    <t>꼬사뿐다~</t>
  </si>
  <si>
    <t>독사과판매원</t>
  </si>
  <si>
    <t>은쪽이담</t>
  </si>
  <si>
    <t>평안爱</t>
  </si>
  <si>
    <t>ZERO00</t>
  </si>
  <si>
    <t>산도끼야일루와</t>
  </si>
  <si>
    <t>엄지살려</t>
  </si>
  <si>
    <t>엘베닫힘연타범</t>
  </si>
  <si>
    <t>2026-07-02</t>
  </si>
  <si>
    <t>체리힐</t>
  </si>
  <si>
    <t>성냥팔아소주</t>
  </si>
  <si>
    <t>이자부는사나이</t>
  </si>
  <si>
    <t>2026-07-03</t>
  </si>
  <si>
    <t>키스의달인</t>
  </si>
  <si>
    <t>포카혼자쓰</t>
  </si>
  <si>
    <t>도른노른자</t>
  </si>
  <si>
    <t>무적14살인데여~</t>
  </si>
  <si>
    <t>빵식이</t>
  </si>
  <si>
    <t>감자</t>
  </si>
  <si>
    <t>2026-07-04</t>
  </si>
  <si>
    <t>해네도앤댈리는뒈</t>
  </si>
  <si>
    <t>노른</t>
    <phoneticPr fontId="8" type="noConversion"/>
  </si>
  <si>
    <t>도른노른자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</si>
</sst>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/d/yyyy"/>
  </numFmts>
  <fonts count="9">
    <font>
      <sz val="11"/>
      <color theme="1"/>
      <name val="맑은 고딕"/>
      <family val="2"/>
      <charset val="1"/>
    </font>
    <font>
      <sz val="11"/>
      <color theme="1"/>
      <name val="Noto Sans CJK SC"/>
      <family val="2"/>
      <charset val="1"/>
    </font>
    <font>
      <sz val="11"/>
      <color theme="1"/>
      <name val="Noto Sans CJK SC"/>
      <family val="2"/>
    </font>
    <font>
      <b/>
      <sz val="11"/>
      <name val="맑은 고딕"/>
      <family val="3"/>
      <charset val="129"/>
    </font>
    <font>
      <sz val="11"/>
      <name val="맑은 고딕"/>
      <family val="3"/>
      <charset val="129"/>
    </font>
    <font>
      <sz val="11"/>
      <name val="Noto Sans CJK SC"/>
      <family val="2"/>
      <charset val="1"/>
    </font>
    <font>
      <b/>
      <sz val="11"/>
      <name val="Noto Sans CJK SC"/>
      <family val="3"/>
      <charset val="129"/>
    </font>
    <font>
      <sz val="10"/>
      <color theme="1"/>
      <name val="Noto Sans CJK SC"/>
      <family val="3"/>
      <charset val="129"/>
    </font>
    <font>
      <sz val="8"/>
      <name val="돋움"/>
      <family val="3"/>
      <charset val="129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3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176" fontId="0" fillId="0" borderId="0" xfId="0" applyNumberFormat="1" applyAlignment="1">
      <alignment horizontal="left"/>
    </xf>
    <xf numFmtId="0" fontId="6" fillId="0" borderId="0" xfId="0" applyFont="1"/>
    <xf numFmtId="0" fontId="7" fillId="0" borderId="0" xfId="0" applyFont="1" applyAlignment="1">
      <alignment vertical="center"/>
    </xf>
    <xf numFmtId="0" fontId="2" fillId="0" borderId="0" xfId="0" applyFont="1"/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D12"/>
  <sheetViews>
    <sheetView zoomScaleNormal="100" workbookViewId="0"/>
  </sheetViews>
  <sheetFormatPr defaultColWidth="8.5" defaultRowHeight="16.5"/>
  <sheetData>
    <row r="3" spans="2:4" ht="16.5" customHeight="1">
      <c r="B3" s="1" t="s">
        <v>24</v>
      </c>
      <c r="C3" s="1" t="s">
        <v>25</v>
      </c>
      <c r="D3" s="1" t="s">
        <v>26</v>
      </c>
    </row>
    <row r="4" spans="2:4" ht="16.5" customHeight="1">
      <c r="B4">
        <v>0</v>
      </c>
      <c r="C4" t="s">
        <v>27</v>
      </c>
      <c r="D4" t="s">
        <v>28</v>
      </c>
    </row>
    <row r="5" spans="2:4" ht="16.5" customHeight="1">
      <c r="B5">
        <v>38001</v>
      </c>
      <c r="C5" t="s">
        <v>29</v>
      </c>
      <c r="D5" t="s">
        <v>30</v>
      </c>
    </row>
    <row r="6" spans="2:4" ht="16.5" customHeight="1">
      <c r="B6">
        <v>145001</v>
      </c>
      <c r="C6" t="s">
        <v>31</v>
      </c>
      <c r="D6" t="s">
        <v>32</v>
      </c>
    </row>
    <row r="7" spans="2:4" ht="16.5" customHeight="1">
      <c r="B7">
        <v>550001</v>
      </c>
      <c r="C7" t="s">
        <v>33</v>
      </c>
      <c r="D7" t="s">
        <v>34</v>
      </c>
    </row>
    <row r="8" spans="2:4" ht="16.5" customHeight="1">
      <c r="B8">
        <v>650001</v>
      </c>
      <c r="C8" t="s">
        <v>35</v>
      </c>
      <c r="D8" t="s">
        <v>36</v>
      </c>
    </row>
    <row r="9" spans="2:4" ht="16.5" customHeight="1">
      <c r="B9">
        <v>1020001</v>
      </c>
      <c r="C9" t="s">
        <v>37</v>
      </c>
      <c r="D9" t="s">
        <v>38</v>
      </c>
    </row>
    <row r="10" spans="2:4" ht="16.5" customHeight="1">
      <c r="B10">
        <v>2280001</v>
      </c>
      <c r="C10" t="s">
        <v>39</v>
      </c>
      <c r="D10" t="s">
        <v>40</v>
      </c>
    </row>
    <row r="11" spans="2:4" ht="16.5" customHeight="1">
      <c r="B11">
        <v>2630001</v>
      </c>
      <c r="C11" t="s">
        <v>41</v>
      </c>
      <c r="D11" t="s">
        <v>42</v>
      </c>
    </row>
    <row r="12" spans="2:4" ht="16.5" customHeight="1">
      <c r="B12">
        <v>7190000</v>
      </c>
      <c r="C12" t="s">
        <v>43</v>
      </c>
      <c r="D12" t="s">
        <v>44</v>
      </c>
    </row>
  </sheetData>
  <phoneticPr fontId="8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59"/>
  <sheetViews>
    <sheetView topLeftCell="A897" zoomScaleNormal="100" workbookViewId="0">
      <selection activeCell="C926" sqref="C926"/>
    </sheetView>
  </sheetViews>
  <sheetFormatPr defaultColWidth="8.5" defaultRowHeight="16.5"/>
  <cols>
    <col min="1" max="1" width="14.875" customWidth="1"/>
    <col min="2" max="2" width="5.25" customWidth="1"/>
    <col min="3" max="3" width="31.75" customWidth="1"/>
    <col min="4" max="4" width="15.125" customWidth="1"/>
    <col min="5" max="5" width="6.625" customWidth="1"/>
  </cols>
  <sheetData>
    <row r="1" spans="1:5" ht="16.5" customHeight="1">
      <c r="A1" s="1" t="s">
        <v>45</v>
      </c>
    </row>
    <row r="2" spans="1:5" ht="16.5" customHeight="1">
      <c r="A2" s="1" t="s">
        <v>46</v>
      </c>
      <c r="B2" s="1" t="s">
        <v>47</v>
      </c>
      <c r="C2" s="1" t="s">
        <v>48</v>
      </c>
      <c r="D2" s="1" t="s">
        <v>49</v>
      </c>
      <c r="E2" s="1" t="s">
        <v>25</v>
      </c>
    </row>
    <row r="3" spans="1:5" ht="16.5" customHeight="1">
      <c r="A3" t="s">
        <v>50</v>
      </c>
      <c r="B3">
        <v>1</v>
      </c>
      <c r="C3" s="1" t="s">
        <v>51</v>
      </c>
      <c r="D3">
        <v>17446200</v>
      </c>
      <c r="E3" t="s">
        <v>43</v>
      </c>
    </row>
    <row r="4" spans="1:5" ht="16.5" customHeight="1">
      <c r="A4" t="s">
        <v>50</v>
      </c>
      <c r="B4">
        <v>2</v>
      </c>
      <c r="C4" s="1" t="s">
        <v>52</v>
      </c>
      <c r="D4">
        <v>14003031</v>
      </c>
      <c r="E4" t="s">
        <v>43</v>
      </c>
    </row>
    <row r="5" spans="1:5" ht="16.5" customHeight="1">
      <c r="A5" t="s">
        <v>50</v>
      </c>
      <c r="B5">
        <v>3</v>
      </c>
      <c r="C5" s="1" t="s">
        <v>53</v>
      </c>
      <c r="D5">
        <v>13095050</v>
      </c>
      <c r="E5" t="s">
        <v>43</v>
      </c>
    </row>
    <row r="6" spans="1:5" ht="16.5" customHeight="1">
      <c r="A6" t="s">
        <v>50</v>
      </c>
      <c r="B6">
        <v>4</v>
      </c>
      <c r="C6" s="1" t="s">
        <v>54</v>
      </c>
      <c r="D6">
        <v>13026900</v>
      </c>
      <c r="E6" t="s">
        <v>43</v>
      </c>
    </row>
    <row r="7" spans="1:5" ht="16.5" customHeight="1">
      <c r="A7" t="s">
        <v>50</v>
      </c>
      <c r="B7">
        <v>5</v>
      </c>
      <c r="C7" s="1" t="s">
        <v>55</v>
      </c>
      <c r="D7">
        <v>12386494</v>
      </c>
      <c r="E7" t="s">
        <v>43</v>
      </c>
    </row>
    <row r="8" spans="1:5" ht="16.5" customHeight="1">
      <c r="A8" t="s">
        <v>50</v>
      </c>
      <c r="B8">
        <v>6</v>
      </c>
      <c r="C8" s="1" t="s">
        <v>17</v>
      </c>
      <c r="D8">
        <v>12178410</v>
      </c>
      <c r="E8" t="s">
        <v>43</v>
      </c>
    </row>
    <row r="9" spans="1:5" ht="16.5" customHeight="1">
      <c r="A9" t="s">
        <v>50</v>
      </c>
      <c r="B9">
        <v>7</v>
      </c>
      <c r="C9" s="1" t="s">
        <v>56</v>
      </c>
      <c r="D9">
        <v>11676697</v>
      </c>
      <c r="E9" t="s">
        <v>43</v>
      </c>
    </row>
    <row r="10" spans="1:5" ht="16.5" customHeight="1">
      <c r="A10" t="s">
        <v>50</v>
      </c>
      <c r="B10">
        <v>8</v>
      </c>
      <c r="C10" t="s">
        <v>57</v>
      </c>
      <c r="D10">
        <v>11190330</v>
      </c>
      <c r="E10" t="s">
        <v>43</v>
      </c>
    </row>
    <row r="11" spans="1:5" ht="16.5" customHeight="1">
      <c r="A11" t="s">
        <v>50</v>
      </c>
      <c r="B11">
        <v>9</v>
      </c>
      <c r="C11" s="1" t="s">
        <v>58</v>
      </c>
      <c r="D11">
        <v>10362894</v>
      </c>
      <c r="E11" t="s">
        <v>43</v>
      </c>
    </row>
    <row r="12" spans="1:5" ht="16.5" customHeight="1">
      <c r="A12" t="s">
        <v>50</v>
      </c>
      <c r="B12">
        <v>10</v>
      </c>
      <c r="C12" s="1" t="s">
        <v>59</v>
      </c>
      <c r="D12">
        <v>9791580</v>
      </c>
      <c r="E12" t="s">
        <v>43</v>
      </c>
    </row>
    <row r="13" spans="1:5" ht="16.5" customHeight="1">
      <c r="A13" t="s">
        <v>50</v>
      </c>
      <c r="B13">
        <v>11</v>
      </c>
      <c r="C13" s="1" t="s">
        <v>60</v>
      </c>
      <c r="D13">
        <v>9726006</v>
      </c>
      <c r="E13" t="s">
        <v>43</v>
      </c>
    </row>
    <row r="14" spans="1:5" ht="16.5" customHeight="1">
      <c r="A14" t="s">
        <v>50</v>
      </c>
      <c r="B14">
        <v>12</v>
      </c>
      <c r="C14" s="1" t="s">
        <v>61</v>
      </c>
      <c r="D14">
        <v>9298860</v>
      </c>
      <c r="E14" t="s">
        <v>43</v>
      </c>
    </row>
    <row r="15" spans="1:5" ht="16.5" customHeight="1">
      <c r="A15" t="s">
        <v>50</v>
      </c>
      <c r="B15">
        <v>13</v>
      </c>
      <c r="C15" s="1" t="s">
        <v>10</v>
      </c>
      <c r="D15">
        <v>8487782</v>
      </c>
      <c r="E15" t="s">
        <v>43</v>
      </c>
    </row>
    <row r="16" spans="1:5" ht="16.5" customHeight="1">
      <c r="A16" t="s">
        <v>50</v>
      </c>
      <c r="B16">
        <v>14</v>
      </c>
      <c r="C16" s="1" t="s">
        <v>62</v>
      </c>
      <c r="D16">
        <v>8428931</v>
      </c>
      <c r="E16" t="s">
        <v>43</v>
      </c>
    </row>
    <row r="17" spans="1:5" ht="16.5" customHeight="1">
      <c r="A17" t="s">
        <v>50</v>
      </c>
      <c r="B17">
        <v>15</v>
      </c>
      <c r="C17" s="1" t="s">
        <v>20</v>
      </c>
      <c r="D17">
        <v>8351700</v>
      </c>
      <c r="E17" t="s">
        <v>43</v>
      </c>
    </row>
    <row r="18" spans="1:5" ht="16.5" customHeight="1">
      <c r="A18" t="s">
        <v>50</v>
      </c>
      <c r="B18">
        <v>16</v>
      </c>
      <c r="C18" s="1" t="s">
        <v>63</v>
      </c>
      <c r="D18">
        <v>8099944</v>
      </c>
      <c r="E18" t="s">
        <v>43</v>
      </c>
    </row>
    <row r="19" spans="1:5" ht="16.5" customHeight="1">
      <c r="A19" t="s">
        <v>50</v>
      </c>
      <c r="B19">
        <v>17</v>
      </c>
      <c r="C19" s="1" t="s">
        <v>64</v>
      </c>
      <c r="D19">
        <v>7972413</v>
      </c>
      <c r="E19" t="s">
        <v>43</v>
      </c>
    </row>
    <row r="20" spans="1:5" ht="16.5" customHeight="1">
      <c r="A20" t="s">
        <v>50</v>
      </c>
      <c r="B20">
        <v>18</v>
      </c>
      <c r="C20" s="1" t="s">
        <v>65</v>
      </c>
      <c r="D20">
        <v>7829890</v>
      </c>
      <c r="E20" t="s">
        <v>43</v>
      </c>
    </row>
    <row r="21" spans="1:5" ht="16.5" customHeight="1">
      <c r="A21" t="s">
        <v>50</v>
      </c>
      <c r="B21">
        <v>19</v>
      </c>
      <c r="C21" s="1" t="s">
        <v>66</v>
      </c>
      <c r="D21">
        <v>7747410</v>
      </c>
      <c r="E21" t="s">
        <v>43</v>
      </c>
    </row>
    <row r="22" spans="1:5" ht="16.5" customHeight="1">
      <c r="A22" t="s">
        <v>50</v>
      </c>
      <c r="B22">
        <v>20</v>
      </c>
      <c r="C22" s="1" t="s">
        <v>67</v>
      </c>
      <c r="D22">
        <v>7734457</v>
      </c>
      <c r="E22" t="s">
        <v>43</v>
      </c>
    </row>
    <row r="23" spans="1:5" ht="16.5" customHeight="1">
      <c r="A23" t="s">
        <v>50</v>
      </c>
      <c r="B23">
        <v>21</v>
      </c>
      <c r="C23" s="1" t="s">
        <v>68</v>
      </c>
      <c r="D23">
        <v>7656699</v>
      </c>
      <c r="E23" t="s">
        <v>43</v>
      </c>
    </row>
    <row r="24" spans="1:5" ht="16.5" customHeight="1">
      <c r="A24" t="s">
        <v>50</v>
      </c>
      <c r="B24">
        <v>22</v>
      </c>
      <c r="C24" t="s">
        <v>69</v>
      </c>
      <c r="D24">
        <v>7629930</v>
      </c>
      <c r="E24" t="s">
        <v>43</v>
      </c>
    </row>
    <row r="25" spans="1:5" ht="16.5" customHeight="1">
      <c r="A25" t="s">
        <v>50</v>
      </c>
      <c r="B25">
        <v>23</v>
      </c>
      <c r="C25" s="1" t="s">
        <v>70</v>
      </c>
      <c r="D25">
        <v>7629170</v>
      </c>
      <c r="E25" t="s">
        <v>43</v>
      </c>
    </row>
    <row r="26" spans="1:5" ht="16.5" customHeight="1">
      <c r="A26" t="s">
        <v>50</v>
      </c>
      <c r="B26">
        <v>24</v>
      </c>
      <c r="C26" s="1" t="s">
        <v>71</v>
      </c>
      <c r="D26">
        <v>7530750</v>
      </c>
      <c r="E26" t="s">
        <v>43</v>
      </c>
    </row>
    <row r="27" spans="1:5" ht="16.5" customHeight="1">
      <c r="A27" t="s">
        <v>50</v>
      </c>
      <c r="B27">
        <v>25</v>
      </c>
      <c r="C27" s="1" t="s">
        <v>72</v>
      </c>
      <c r="D27">
        <v>7494390</v>
      </c>
      <c r="E27" t="s">
        <v>43</v>
      </c>
    </row>
    <row r="28" spans="1:5" ht="16.5" customHeight="1">
      <c r="A28" t="s">
        <v>50</v>
      </c>
      <c r="B28">
        <v>26</v>
      </c>
      <c r="C28" s="1" t="s">
        <v>73</v>
      </c>
      <c r="D28">
        <v>7425030</v>
      </c>
      <c r="E28" t="s">
        <v>43</v>
      </c>
    </row>
    <row r="29" spans="1:5" ht="16.5" customHeight="1">
      <c r="A29" t="s">
        <v>50</v>
      </c>
      <c r="B29">
        <v>27</v>
      </c>
      <c r="C29" s="1" t="s">
        <v>74</v>
      </c>
      <c r="D29">
        <v>7233630</v>
      </c>
      <c r="E29" t="s">
        <v>43</v>
      </c>
    </row>
    <row r="30" spans="1:5" ht="16.5" customHeight="1">
      <c r="A30" t="s">
        <v>50</v>
      </c>
      <c r="B30">
        <v>28</v>
      </c>
      <c r="C30" s="1" t="s">
        <v>75</v>
      </c>
      <c r="D30">
        <v>7218568</v>
      </c>
      <c r="E30" t="s">
        <v>43</v>
      </c>
    </row>
    <row r="31" spans="1:5" ht="16.5" customHeight="1">
      <c r="A31" t="s">
        <v>50</v>
      </c>
      <c r="B31">
        <v>29</v>
      </c>
      <c r="C31" s="1" t="s">
        <v>76</v>
      </c>
      <c r="D31">
        <v>7215859</v>
      </c>
      <c r="E31" t="s">
        <v>43</v>
      </c>
    </row>
    <row r="32" spans="1:5" ht="16.5" customHeight="1">
      <c r="A32" t="s">
        <v>50</v>
      </c>
      <c r="B32">
        <v>30</v>
      </c>
      <c r="C32" s="1" t="s">
        <v>77</v>
      </c>
      <c r="D32">
        <v>7202018</v>
      </c>
      <c r="E32" t="s">
        <v>43</v>
      </c>
    </row>
    <row r="33" spans="1:5" ht="16.5" customHeight="1">
      <c r="A33" t="s">
        <v>50</v>
      </c>
      <c r="B33">
        <v>31</v>
      </c>
      <c r="C33" s="1" t="s">
        <v>78</v>
      </c>
      <c r="D33">
        <v>5747056</v>
      </c>
      <c r="E33" t="s">
        <v>41</v>
      </c>
    </row>
    <row r="34" spans="1:5" ht="16.5" customHeight="1">
      <c r="A34" t="s">
        <v>50</v>
      </c>
      <c r="B34">
        <v>32</v>
      </c>
      <c r="C34" s="1" t="s">
        <v>79</v>
      </c>
      <c r="D34">
        <v>5659102</v>
      </c>
      <c r="E34" t="s">
        <v>41</v>
      </c>
    </row>
    <row r="35" spans="1:5" ht="16.5" customHeight="1">
      <c r="A35" t="s">
        <v>50</v>
      </c>
      <c r="B35">
        <v>33</v>
      </c>
      <c r="C35" s="1" t="s">
        <v>80</v>
      </c>
      <c r="D35">
        <v>5575024</v>
      </c>
      <c r="E35" t="s">
        <v>41</v>
      </c>
    </row>
    <row r="36" spans="1:5" ht="16.5" customHeight="1">
      <c r="A36" t="s">
        <v>50</v>
      </c>
      <c r="B36">
        <v>34</v>
      </c>
      <c r="C36" s="1" t="s">
        <v>81</v>
      </c>
      <c r="D36">
        <v>5545974</v>
      </c>
      <c r="E36" t="s">
        <v>41</v>
      </c>
    </row>
    <row r="37" spans="1:5" ht="16.5" customHeight="1">
      <c r="A37" t="s">
        <v>50</v>
      </c>
      <c r="B37">
        <v>35</v>
      </c>
      <c r="C37" s="1" t="s">
        <v>82</v>
      </c>
      <c r="D37">
        <v>5391755</v>
      </c>
      <c r="E37" t="s">
        <v>41</v>
      </c>
    </row>
    <row r="38" spans="1:5" ht="16.5" customHeight="1">
      <c r="A38" t="s">
        <v>50</v>
      </c>
      <c r="B38">
        <v>36</v>
      </c>
      <c r="C38" s="1" t="s">
        <v>83</v>
      </c>
      <c r="D38">
        <v>5181490</v>
      </c>
      <c r="E38" t="s">
        <v>41</v>
      </c>
    </row>
    <row r="39" spans="1:5" ht="16.5" customHeight="1">
      <c r="A39" t="s">
        <v>50</v>
      </c>
      <c r="B39">
        <v>37</v>
      </c>
      <c r="C39" s="1" t="s">
        <v>84</v>
      </c>
      <c r="D39">
        <v>5131950</v>
      </c>
      <c r="E39" t="s">
        <v>41</v>
      </c>
    </row>
    <row r="40" spans="1:5" ht="16.5" customHeight="1">
      <c r="A40" t="s">
        <v>50</v>
      </c>
      <c r="B40">
        <v>38</v>
      </c>
      <c r="C40" s="1" t="s">
        <v>85</v>
      </c>
      <c r="D40">
        <v>4904007</v>
      </c>
      <c r="E40" t="s">
        <v>41</v>
      </c>
    </row>
    <row r="41" spans="1:5" ht="16.5" customHeight="1">
      <c r="A41" t="s">
        <v>50</v>
      </c>
      <c r="B41">
        <v>39</v>
      </c>
      <c r="C41" s="1" t="s">
        <v>86</v>
      </c>
      <c r="D41">
        <v>4573837</v>
      </c>
      <c r="E41" t="s">
        <v>41</v>
      </c>
    </row>
    <row r="42" spans="1:5" ht="16.5" customHeight="1">
      <c r="A42" t="s">
        <v>50</v>
      </c>
      <c r="B42">
        <v>40</v>
      </c>
      <c r="C42" s="1" t="s">
        <v>87</v>
      </c>
      <c r="D42">
        <v>4490575</v>
      </c>
      <c r="E42" t="s">
        <v>41</v>
      </c>
    </row>
    <row r="43" spans="1:5" ht="16.5" customHeight="1">
      <c r="A43" t="s">
        <v>50</v>
      </c>
      <c r="B43">
        <v>41</v>
      </c>
      <c r="C43" s="1" t="s">
        <v>88</v>
      </c>
      <c r="D43">
        <v>4397353</v>
      </c>
      <c r="E43" t="s">
        <v>41</v>
      </c>
    </row>
    <row r="44" spans="1:5" ht="16.5" customHeight="1">
      <c r="A44" t="s">
        <v>50</v>
      </c>
      <c r="B44">
        <v>42</v>
      </c>
      <c r="C44" s="1" t="s">
        <v>89</v>
      </c>
      <c r="D44">
        <v>4297031</v>
      </c>
      <c r="E44" t="s">
        <v>41</v>
      </c>
    </row>
    <row r="45" spans="1:5" ht="16.5" customHeight="1">
      <c r="A45" t="s">
        <v>50</v>
      </c>
      <c r="B45">
        <v>43</v>
      </c>
      <c r="C45" s="1" t="s">
        <v>90</v>
      </c>
      <c r="D45">
        <v>4182965</v>
      </c>
      <c r="E45" t="s">
        <v>41</v>
      </c>
    </row>
    <row r="46" spans="1:5" ht="16.5" customHeight="1">
      <c r="A46" t="s">
        <v>50</v>
      </c>
      <c r="B46">
        <v>44</v>
      </c>
      <c r="C46" s="1" t="s">
        <v>91</v>
      </c>
      <c r="D46">
        <v>4030862</v>
      </c>
      <c r="E46" t="s">
        <v>41</v>
      </c>
    </row>
    <row r="47" spans="1:5" ht="16.5" customHeight="1">
      <c r="A47" t="s">
        <v>50</v>
      </c>
      <c r="B47">
        <v>45</v>
      </c>
      <c r="C47" s="1" t="s">
        <v>92</v>
      </c>
      <c r="D47">
        <v>3998435</v>
      </c>
      <c r="E47" t="s">
        <v>41</v>
      </c>
    </row>
    <row r="48" spans="1:5" ht="16.5" customHeight="1">
      <c r="A48" t="s">
        <v>50</v>
      </c>
      <c r="B48">
        <v>46</v>
      </c>
      <c r="C48" s="1" t="s">
        <v>93</v>
      </c>
      <c r="D48">
        <v>3927862</v>
      </c>
      <c r="E48" t="s">
        <v>41</v>
      </c>
    </row>
    <row r="49" spans="1:5" ht="16.5" customHeight="1">
      <c r="A49" t="s">
        <v>50</v>
      </c>
      <c r="B49">
        <v>47</v>
      </c>
      <c r="C49" s="1" t="s">
        <v>94</v>
      </c>
      <c r="D49">
        <v>3788029</v>
      </c>
      <c r="E49" t="s">
        <v>41</v>
      </c>
    </row>
    <row r="50" spans="1:5" ht="16.5" customHeight="1">
      <c r="A50" t="s">
        <v>50</v>
      </c>
      <c r="B50">
        <v>48</v>
      </c>
      <c r="C50" s="1" t="s">
        <v>95</v>
      </c>
      <c r="D50">
        <v>3775539</v>
      </c>
      <c r="E50" t="s">
        <v>41</v>
      </c>
    </row>
    <row r="51" spans="1:5" ht="16.5" customHeight="1">
      <c r="A51" t="s">
        <v>50</v>
      </c>
      <c r="B51">
        <v>49</v>
      </c>
      <c r="C51" s="1" t="s">
        <v>96</v>
      </c>
      <c r="D51">
        <v>3644353</v>
      </c>
      <c r="E51" t="s">
        <v>41</v>
      </c>
    </row>
    <row r="52" spans="1:5" ht="16.5" customHeight="1">
      <c r="A52" t="s">
        <v>50</v>
      </c>
      <c r="B52">
        <v>50</v>
      </c>
      <c r="C52" s="1" t="s">
        <v>97</v>
      </c>
      <c r="D52">
        <v>3436366</v>
      </c>
      <c r="E52" t="s">
        <v>41</v>
      </c>
    </row>
    <row r="53" spans="1:5" ht="16.5" customHeight="1">
      <c r="A53" t="s">
        <v>50</v>
      </c>
      <c r="B53">
        <v>51</v>
      </c>
      <c r="C53" s="1" t="s">
        <v>98</v>
      </c>
      <c r="D53">
        <v>3375232</v>
      </c>
      <c r="E53" t="s">
        <v>41</v>
      </c>
    </row>
    <row r="54" spans="1:5" ht="16.5" customHeight="1">
      <c r="A54" t="s">
        <v>50</v>
      </c>
      <c r="B54">
        <v>52</v>
      </c>
      <c r="C54" s="1" t="s">
        <v>99</v>
      </c>
      <c r="D54">
        <v>3219637</v>
      </c>
      <c r="E54" t="s">
        <v>41</v>
      </c>
    </row>
    <row r="55" spans="1:5" ht="16.5" customHeight="1">
      <c r="A55" t="s">
        <v>50</v>
      </c>
      <c r="B55">
        <v>53</v>
      </c>
      <c r="C55" s="1" t="s">
        <v>100</v>
      </c>
      <c r="D55">
        <v>3100693</v>
      </c>
      <c r="E55" t="s">
        <v>41</v>
      </c>
    </row>
    <row r="56" spans="1:5" ht="16.5" customHeight="1">
      <c r="A56" t="s">
        <v>50</v>
      </c>
      <c r="B56">
        <v>54</v>
      </c>
      <c r="C56" s="1" t="s">
        <v>101</v>
      </c>
      <c r="D56">
        <v>3087580</v>
      </c>
      <c r="E56" t="s">
        <v>41</v>
      </c>
    </row>
    <row r="57" spans="1:5" ht="16.5" customHeight="1">
      <c r="A57" t="s">
        <v>50</v>
      </c>
      <c r="B57">
        <v>55</v>
      </c>
      <c r="C57" s="1" t="s">
        <v>102</v>
      </c>
      <c r="D57">
        <v>2720000</v>
      </c>
      <c r="E57" t="s">
        <v>41</v>
      </c>
    </row>
    <row r="58" spans="1:5" ht="16.5" customHeight="1">
      <c r="A58" t="s">
        <v>50</v>
      </c>
      <c r="B58">
        <v>56</v>
      </c>
      <c r="C58" s="1" t="s">
        <v>103</v>
      </c>
      <c r="D58">
        <v>2670936</v>
      </c>
      <c r="E58" t="s">
        <v>41</v>
      </c>
    </row>
    <row r="59" spans="1:5" ht="16.5" customHeight="1">
      <c r="A59" t="s">
        <v>50</v>
      </c>
      <c r="B59">
        <v>57</v>
      </c>
      <c r="C59" s="1" t="s">
        <v>104</v>
      </c>
      <c r="D59">
        <v>2294961</v>
      </c>
      <c r="E59" t="s">
        <v>39</v>
      </c>
    </row>
    <row r="60" spans="1:5" ht="16.5" customHeight="1">
      <c r="A60" t="s">
        <v>50</v>
      </c>
      <c r="B60">
        <v>58</v>
      </c>
      <c r="C60" s="1" t="s">
        <v>105</v>
      </c>
      <c r="D60">
        <v>2202597</v>
      </c>
      <c r="E60" t="s">
        <v>37</v>
      </c>
    </row>
    <row r="61" spans="1:5" ht="16.5" customHeight="1">
      <c r="A61" t="s">
        <v>50</v>
      </c>
      <c r="B61">
        <v>59</v>
      </c>
      <c r="C61" s="1" t="s">
        <v>106</v>
      </c>
      <c r="D61">
        <v>2155923</v>
      </c>
      <c r="E61" t="s">
        <v>37</v>
      </c>
    </row>
    <row r="62" spans="1:5" ht="16.5" customHeight="1">
      <c r="A62" t="s">
        <v>107</v>
      </c>
      <c r="B62">
        <v>1</v>
      </c>
      <c r="C62" s="1" t="s">
        <v>71</v>
      </c>
      <c r="D62">
        <v>20124674</v>
      </c>
      <c r="E62" t="s">
        <v>43</v>
      </c>
    </row>
    <row r="63" spans="1:5" ht="16.5" customHeight="1">
      <c r="A63" t="s">
        <v>107</v>
      </c>
      <c r="B63">
        <v>2</v>
      </c>
      <c r="C63" t="s">
        <v>57</v>
      </c>
      <c r="D63">
        <v>17878446</v>
      </c>
      <c r="E63" t="s">
        <v>43</v>
      </c>
    </row>
    <row r="64" spans="1:5" ht="16.5" customHeight="1">
      <c r="A64" t="s">
        <v>107</v>
      </c>
      <c r="B64">
        <v>3</v>
      </c>
      <c r="C64" s="1" t="s">
        <v>51</v>
      </c>
      <c r="D64">
        <v>17252741</v>
      </c>
      <c r="E64" t="s">
        <v>43</v>
      </c>
    </row>
    <row r="65" spans="1:5" ht="16.5" customHeight="1">
      <c r="A65" t="s">
        <v>107</v>
      </c>
      <c r="B65">
        <v>4</v>
      </c>
      <c r="C65" s="1" t="s">
        <v>54</v>
      </c>
      <c r="D65">
        <v>14018518</v>
      </c>
      <c r="E65" t="s">
        <v>43</v>
      </c>
    </row>
    <row r="66" spans="1:5" ht="16.5" customHeight="1">
      <c r="A66" t="s">
        <v>107</v>
      </c>
      <c r="B66">
        <v>5</v>
      </c>
      <c r="C66" s="1" t="s">
        <v>58</v>
      </c>
      <c r="D66">
        <v>13474398</v>
      </c>
      <c r="E66" t="s">
        <v>43</v>
      </c>
    </row>
    <row r="67" spans="1:5" ht="16.5" customHeight="1">
      <c r="A67" t="s">
        <v>107</v>
      </c>
      <c r="B67">
        <v>6</v>
      </c>
      <c r="C67" s="1" t="s">
        <v>59</v>
      </c>
      <c r="D67">
        <v>13425532</v>
      </c>
      <c r="E67" t="s">
        <v>43</v>
      </c>
    </row>
    <row r="68" spans="1:5" ht="16.5" customHeight="1">
      <c r="A68" t="s">
        <v>107</v>
      </c>
      <c r="B68">
        <v>7</v>
      </c>
      <c r="C68" s="1" t="s">
        <v>55</v>
      </c>
      <c r="D68">
        <v>11951501</v>
      </c>
      <c r="E68" t="s">
        <v>43</v>
      </c>
    </row>
    <row r="69" spans="1:5" ht="16.5" customHeight="1">
      <c r="A69" t="s">
        <v>107</v>
      </c>
      <c r="B69">
        <v>8</v>
      </c>
      <c r="C69" s="1" t="s">
        <v>64</v>
      </c>
      <c r="D69">
        <v>11050986</v>
      </c>
      <c r="E69" t="s">
        <v>43</v>
      </c>
    </row>
    <row r="70" spans="1:5" ht="16.5" customHeight="1">
      <c r="A70" t="s">
        <v>107</v>
      </c>
      <c r="B70">
        <v>9</v>
      </c>
      <c r="C70" s="1" t="s">
        <v>17</v>
      </c>
      <c r="D70">
        <v>11050649</v>
      </c>
      <c r="E70" t="s">
        <v>43</v>
      </c>
    </row>
    <row r="71" spans="1:5" ht="16.5" customHeight="1">
      <c r="A71" t="s">
        <v>107</v>
      </c>
      <c r="B71">
        <v>10</v>
      </c>
      <c r="C71" s="1" t="s">
        <v>74</v>
      </c>
      <c r="D71">
        <v>10955529</v>
      </c>
      <c r="E71" t="s">
        <v>43</v>
      </c>
    </row>
    <row r="72" spans="1:5" ht="16.5" customHeight="1">
      <c r="A72" t="s">
        <v>107</v>
      </c>
      <c r="B72">
        <v>11</v>
      </c>
      <c r="C72" t="s">
        <v>69</v>
      </c>
      <c r="D72">
        <v>10698509</v>
      </c>
      <c r="E72" t="s">
        <v>43</v>
      </c>
    </row>
    <row r="73" spans="1:5" ht="16.5" customHeight="1">
      <c r="A73" t="s">
        <v>107</v>
      </c>
      <c r="B73">
        <v>12</v>
      </c>
      <c r="C73" s="1" t="s">
        <v>65</v>
      </c>
      <c r="D73">
        <v>10412961</v>
      </c>
      <c r="E73" t="s">
        <v>43</v>
      </c>
    </row>
    <row r="74" spans="1:5" ht="16.5" customHeight="1">
      <c r="A74" t="s">
        <v>107</v>
      </c>
      <c r="B74">
        <v>13</v>
      </c>
      <c r="C74" s="1" t="s">
        <v>61</v>
      </c>
      <c r="D74">
        <v>10411072</v>
      </c>
      <c r="E74" t="s">
        <v>43</v>
      </c>
    </row>
    <row r="75" spans="1:5" ht="16.5" customHeight="1">
      <c r="A75" t="s">
        <v>107</v>
      </c>
      <c r="B75">
        <v>14</v>
      </c>
      <c r="C75" s="1" t="s">
        <v>60</v>
      </c>
      <c r="D75">
        <v>9539236</v>
      </c>
      <c r="E75" t="s">
        <v>43</v>
      </c>
    </row>
    <row r="76" spans="1:5" ht="16.5" customHeight="1">
      <c r="A76" t="s">
        <v>107</v>
      </c>
      <c r="B76">
        <v>15</v>
      </c>
      <c r="C76" s="1" t="s">
        <v>77</v>
      </c>
      <c r="D76">
        <v>9099782</v>
      </c>
      <c r="E76" t="s">
        <v>43</v>
      </c>
    </row>
    <row r="77" spans="1:5" ht="16.5" customHeight="1">
      <c r="A77" t="s">
        <v>107</v>
      </c>
      <c r="B77">
        <v>16</v>
      </c>
      <c r="C77" s="1" t="s">
        <v>72</v>
      </c>
      <c r="D77">
        <v>8928749</v>
      </c>
      <c r="E77" t="s">
        <v>43</v>
      </c>
    </row>
    <row r="78" spans="1:5" ht="16.5" customHeight="1">
      <c r="A78" t="s">
        <v>107</v>
      </c>
      <c r="B78">
        <v>17</v>
      </c>
      <c r="C78" s="1" t="s">
        <v>56</v>
      </c>
      <c r="D78">
        <v>8509653</v>
      </c>
      <c r="E78" t="s">
        <v>43</v>
      </c>
    </row>
    <row r="79" spans="1:5" ht="16.5" customHeight="1">
      <c r="A79" t="s">
        <v>107</v>
      </c>
      <c r="B79">
        <v>18</v>
      </c>
      <c r="C79" s="1" t="s">
        <v>76</v>
      </c>
      <c r="D79">
        <v>8453735</v>
      </c>
      <c r="E79" t="s">
        <v>43</v>
      </c>
    </row>
    <row r="80" spans="1:5" ht="16.5" customHeight="1">
      <c r="A80" t="s">
        <v>107</v>
      </c>
      <c r="B80">
        <v>19</v>
      </c>
      <c r="C80" s="1" t="s">
        <v>70</v>
      </c>
      <c r="D80">
        <v>8390684</v>
      </c>
      <c r="E80" t="s">
        <v>43</v>
      </c>
    </row>
    <row r="81" spans="1:5" ht="16.5" customHeight="1">
      <c r="A81" t="s">
        <v>107</v>
      </c>
      <c r="B81">
        <v>20</v>
      </c>
      <c r="C81" s="1" t="s">
        <v>82</v>
      </c>
      <c r="D81">
        <v>8385975</v>
      </c>
      <c r="E81" t="s">
        <v>43</v>
      </c>
    </row>
    <row r="82" spans="1:5" ht="16.5" customHeight="1">
      <c r="A82" t="s">
        <v>107</v>
      </c>
      <c r="B82">
        <v>21</v>
      </c>
      <c r="C82" s="1" t="s">
        <v>20</v>
      </c>
      <c r="D82">
        <v>7931262</v>
      </c>
      <c r="E82" t="s">
        <v>43</v>
      </c>
    </row>
    <row r="83" spans="1:5" ht="16.5" customHeight="1">
      <c r="A83" t="s">
        <v>107</v>
      </c>
      <c r="B83">
        <v>22</v>
      </c>
      <c r="C83" s="1" t="s">
        <v>92</v>
      </c>
      <c r="D83">
        <v>7760606</v>
      </c>
      <c r="E83" t="s">
        <v>43</v>
      </c>
    </row>
    <row r="84" spans="1:5" ht="16.5" customHeight="1">
      <c r="A84" t="s">
        <v>107</v>
      </c>
      <c r="B84">
        <v>23</v>
      </c>
      <c r="C84" s="1" t="s">
        <v>94</v>
      </c>
      <c r="D84">
        <v>7534842</v>
      </c>
      <c r="E84" t="s">
        <v>43</v>
      </c>
    </row>
    <row r="85" spans="1:5" ht="16.5" customHeight="1">
      <c r="A85" t="s">
        <v>107</v>
      </c>
      <c r="B85">
        <v>24</v>
      </c>
      <c r="C85" s="1" t="s">
        <v>68</v>
      </c>
      <c r="D85">
        <v>7400843</v>
      </c>
      <c r="E85" t="s">
        <v>43</v>
      </c>
    </row>
    <row r="86" spans="1:5" ht="16.5" customHeight="1">
      <c r="A86" t="s">
        <v>107</v>
      </c>
      <c r="B86">
        <v>25</v>
      </c>
      <c r="C86" s="1" t="s">
        <v>66</v>
      </c>
      <c r="D86">
        <v>7282637</v>
      </c>
      <c r="E86" t="s">
        <v>43</v>
      </c>
    </row>
    <row r="87" spans="1:5" ht="16.5" customHeight="1">
      <c r="A87" t="s">
        <v>107</v>
      </c>
      <c r="B87">
        <v>26</v>
      </c>
      <c r="C87" s="1" t="s">
        <v>108</v>
      </c>
      <c r="D87">
        <v>7281876</v>
      </c>
      <c r="E87" t="s">
        <v>43</v>
      </c>
    </row>
    <row r="88" spans="1:5" ht="16.5" customHeight="1">
      <c r="A88" t="s">
        <v>107</v>
      </c>
      <c r="B88">
        <v>27</v>
      </c>
      <c r="C88" s="1" t="s">
        <v>53</v>
      </c>
      <c r="D88">
        <v>7280918</v>
      </c>
      <c r="E88" t="s">
        <v>43</v>
      </c>
    </row>
    <row r="89" spans="1:5" ht="16.5" customHeight="1">
      <c r="A89" t="s">
        <v>107</v>
      </c>
      <c r="B89">
        <v>28</v>
      </c>
      <c r="C89" s="1" t="s">
        <v>73</v>
      </c>
      <c r="D89">
        <v>7272828</v>
      </c>
      <c r="E89" t="s">
        <v>43</v>
      </c>
    </row>
    <row r="90" spans="1:5" ht="16.5" customHeight="1">
      <c r="A90" t="s">
        <v>107</v>
      </c>
      <c r="B90">
        <v>29</v>
      </c>
      <c r="C90" s="1" t="s">
        <v>84</v>
      </c>
      <c r="D90">
        <v>7236458</v>
      </c>
      <c r="E90" t="s">
        <v>43</v>
      </c>
    </row>
    <row r="91" spans="1:5" ht="16.5" customHeight="1">
      <c r="A91" t="s">
        <v>107</v>
      </c>
      <c r="B91">
        <v>30</v>
      </c>
      <c r="C91" s="1" t="s">
        <v>75</v>
      </c>
      <c r="D91">
        <v>6986371</v>
      </c>
      <c r="E91" t="s">
        <v>41</v>
      </c>
    </row>
    <row r="92" spans="1:5" ht="16.5" customHeight="1">
      <c r="A92" t="s">
        <v>107</v>
      </c>
      <c r="B92">
        <v>31</v>
      </c>
      <c r="C92" s="1" t="s">
        <v>52</v>
      </c>
      <c r="D92">
        <v>5884130</v>
      </c>
      <c r="E92" t="s">
        <v>41</v>
      </c>
    </row>
    <row r="93" spans="1:5" ht="16.5" customHeight="1">
      <c r="A93" t="s">
        <v>107</v>
      </c>
      <c r="B93">
        <v>32</v>
      </c>
      <c r="C93" s="1" t="s">
        <v>93</v>
      </c>
      <c r="D93">
        <v>5813157</v>
      </c>
      <c r="E93" t="s">
        <v>41</v>
      </c>
    </row>
    <row r="94" spans="1:5" ht="16.5" customHeight="1">
      <c r="A94" t="s">
        <v>107</v>
      </c>
      <c r="B94">
        <v>33</v>
      </c>
      <c r="C94" s="1" t="s">
        <v>67</v>
      </c>
      <c r="D94">
        <v>5275134</v>
      </c>
      <c r="E94" t="s">
        <v>41</v>
      </c>
    </row>
    <row r="95" spans="1:5" ht="16.5" customHeight="1">
      <c r="A95" t="s">
        <v>107</v>
      </c>
      <c r="B95">
        <v>34</v>
      </c>
      <c r="C95" s="1" t="s">
        <v>104</v>
      </c>
      <c r="D95">
        <v>4876688</v>
      </c>
      <c r="E95" t="s">
        <v>41</v>
      </c>
    </row>
    <row r="96" spans="1:5" ht="16.5" customHeight="1">
      <c r="A96" t="s">
        <v>107</v>
      </c>
      <c r="B96">
        <v>35</v>
      </c>
      <c r="C96" s="1" t="s">
        <v>10</v>
      </c>
      <c r="D96">
        <v>4842063</v>
      </c>
      <c r="E96" t="s">
        <v>41</v>
      </c>
    </row>
    <row r="97" spans="1:5" ht="16.5" customHeight="1">
      <c r="A97" t="s">
        <v>107</v>
      </c>
      <c r="B97">
        <v>36</v>
      </c>
      <c r="C97" s="1" t="s">
        <v>100</v>
      </c>
      <c r="D97">
        <v>4668195</v>
      </c>
      <c r="E97" t="s">
        <v>41</v>
      </c>
    </row>
    <row r="98" spans="1:5" ht="16.5" customHeight="1">
      <c r="A98" t="s">
        <v>107</v>
      </c>
      <c r="B98">
        <v>37</v>
      </c>
      <c r="C98" s="1" t="s">
        <v>81</v>
      </c>
      <c r="D98">
        <v>4616477</v>
      </c>
      <c r="E98" t="s">
        <v>41</v>
      </c>
    </row>
    <row r="99" spans="1:5" ht="16.5" customHeight="1">
      <c r="A99" t="s">
        <v>107</v>
      </c>
      <c r="B99">
        <v>38</v>
      </c>
      <c r="C99" s="1" t="s">
        <v>85</v>
      </c>
      <c r="D99">
        <v>4498125</v>
      </c>
      <c r="E99" t="s">
        <v>41</v>
      </c>
    </row>
    <row r="100" spans="1:5" ht="16.5" customHeight="1">
      <c r="A100" t="s">
        <v>107</v>
      </c>
      <c r="B100">
        <v>39</v>
      </c>
      <c r="C100" s="1" t="s">
        <v>63</v>
      </c>
      <c r="D100">
        <v>3687186</v>
      </c>
      <c r="E100" t="s">
        <v>41</v>
      </c>
    </row>
    <row r="101" spans="1:5" ht="16.5" customHeight="1">
      <c r="A101" t="s">
        <v>107</v>
      </c>
      <c r="B101">
        <v>40</v>
      </c>
      <c r="C101" s="1" t="s">
        <v>80</v>
      </c>
      <c r="D101">
        <v>3611227</v>
      </c>
      <c r="E101" t="s">
        <v>41</v>
      </c>
    </row>
    <row r="102" spans="1:5" ht="16.5" customHeight="1">
      <c r="A102" t="s">
        <v>107</v>
      </c>
      <c r="B102">
        <v>41</v>
      </c>
      <c r="C102" s="1" t="s">
        <v>87</v>
      </c>
      <c r="D102">
        <v>3189920</v>
      </c>
      <c r="E102" t="s">
        <v>41</v>
      </c>
    </row>
    <row r="103" spans="1:5" ht="16.5" customHeight="1">
      <c r="A103" t="s">
        <v>107</v>
      </c>
      <c r="B103">
        <v>42</v>
      </c>
      <c r="C103" s="1" t="s">
        <v>97</v>
      </c>
      <c r="D103">
        <v>3120139</v>
      </c>
      <c r="E103" t="s">
        <v>41</v>
      </c>
    </row>
    <row r="104" spans="1:5" ht="16.5" customHeight="1">
      <c r="A104" t="s">
        <v>107</v>
      </c>
      <c r="B104">
        <v>43</v>
      </c>
      <c r="C104" s="1" t="s">
        <v>98</v>
      </c>
      <c r="D104">
        <v>3108728</v>
      </c>
      <c r="E104" t="s">
        <v>41</v>
      </c>
    </row>
    <row r="105" spans="1:5" ht="16.5" customHeight="1">
      <c r="A105" t="s">
        <v>107</v>
      </c>
      <c r="B105">
        <v>44</v>
      </c>
      <c r="C105" s="1" t="s">
        <v>109</v>
      </c>
      <c r="D105">
        <v>3077202</v>
      </c>
      <c r="E105" t="s">
        <v>41</v>
      </c>
    </row>
    <row r="106" spans="1:5" ht="16.5" customHeight="1">
      <c r="A106" t="s">
        <v>107</v>
      </c>
      <c r="B106">
        <v>45</v>
      </c>
      <c r="C106" s="1" t="s">
        <v>95</v>
      </c>
      <c r="D106">
        <v>2968639</v>
      </c>
      <c r="E106" t="s">
        <v>41</v>
      </c>
    </row>
    <row r="107" spans="1:5" ht="16.5" customHeight="1">
      <c r="A107" t="s">
        <v>107</v>
      </c>
      <c r="B107">
        <v>46</v>
      </c>
      <c r="C107" s="1" t="s">
        <v>91</v>
      </c>
      <c r="D107">
        <v>2968603</v>
      </c>
      <c r="E107" t="s">
        <v>41</v>
      </c>
    </row>
    <row r="108" spans="1:5" ht="16.5" customHeight="1">
      <c r="A108" t="s">
        <v>107</v>
      </c>
      <c r="B108">
        <v>47</v>
      </c>
      <c r="C108" s="1" t="s">
        <v>79</v>
      </c>
      <c r="D108">
        <v>2953979</v>
      </c>
      <c r="E108" t="s">
        <v>41</v>
      </c>
    </row>
    <row r="109" spans="1:5" ht="16.5" customHeight="1">
      <c r="A109" t="s">
        <v>107</v>
      </c>
      <c r="B109">
        <v>48</v>
      </c>
      <c r="C109" t="s">
        <v>110</v>
      </c>
      <c r="D109">
        <v>2772649</v>
      </c>
      <c r="E109" t="s">
        <v>41</v>
      </c>
    </row>
    <row r="110" spans="1:5" ht="16.5" customHeight="1">
      <c r="A110" t="s">
        <v>107</v>
      </c>
      <c r="B110">
        <v>49</v>
      </c>
      <c r="C110" s="1" t="s">
        <v>62</v>
      </c>
      <c r="D110">
        <v>2738331</v>
      </c>
      <c r="E110" t="s">
        <v>41</v>
      </c>
    </row>
    <row r="111" spans="1:5" ht="16.5" customHeight="1">
      <c r="A111" t="s">
        <v>107</v>
      </c>
      <c r="B111">
        <v>50</v>
      </c>
      <c r="C111" s="1" t="s">
        <v>88</v>
      </c>
      <c r="D111">
        <v>2460723</v>
      </c>
      <c r="E111" t="s">
        <v>39</v>
      </c>
    </row>
    <row r="112" spans="1:5" ht="16.5" customHeight="1">
      <c r="A112" t="s">
        <v>107</v>
      </c>
      <c r="B112">
        <v>51</v>
      </c>
      <c r="C112" s="1" t="s">
        <v>105</v>
      </c>
      <c r="D112">
        <v>2165388</v>
      </c>
      <c r="E112" t="s">
        <v>37</v>
      </c>
    </row>
    <row r="113" spans="1:6" ht="16.5" customHeight="1">
      <c r="A113" t="s">
        <v>107</v>
      </c>
      <c r="B113">
        <v>52</v>
      </c>
      <c r="C113" s="1" t="s">
        <v>102</v>
      </c>
      <c r="D113">
        <v>2028076</v>
      </c>
      <c r="E113" t="s">
        <v>37</v>
      </c>
    </row>
    <row r="114" spans="1:6" ht="16.5" customHeight="1">
      <c r="A114" t="s">
        <v>107</v>
      </c>
      <c r="B114">
        <v>53</v>
      </c>
      <c r="C114" s="1" t="s">
        <v>101</v>
      </c>
      <c r="D114">
        <v>1829852</v>
      </c>
      <c r="E114" t="s">
        <v>37</v>
      </c>
    </row>
    <row r="115" spans="1:6" ht="16.5" customHeight="1">
      <c r="A115" t="s">
        <v>107</v>
      </c>
      <c r="B115">
        <v>54</v>
      </c>
      <c r="C115" s="1" t="s">
        <v>86</v>
      </c>
      <c r="D115">
        <v>1765395</v>
      </c>
      <c r="E115" t="s">
        <v>37</v>
      </c>
    </row>
    <row r="116" spans="1:6" ht="16.5" customHeight="1">
      <c r="A116" t="s">
        <v>107</v>
      </c>
      <c r="B116">
        <v>55</v>
      </c>
      <c r="C116" s="1" t="s">
        <v>89</v>
      </c>
      <c r="D116">
        <v>1693947</v>
      </c>
      <c r="E116" t="s">
        <v>37</v>
      </c>
    </row>
    <row r="117" spans="1:6" ht="16.5" customHeight="1">
      <c r="A117" t="s">
        <v>107</v>
      </c>
      <c r="B117">
        <v>56</v>
      </c>
      <c r="C117" s="1" t="s">
        <v>83</v>
      </c>
      <c r="D117">
        <v>1288077</v>
      </c>
      <c r="E117" t="s">
        <v>37</v>
      </c>
    </row>
    <row r="118" spans="1:6" ht="16.5" customHeight="1">
      <c r="A118" t="s">
        <v>107</v>
      </c>
      <c r="B118">
        <v>57</v>
      </c>
      <c r="C118" s="1" t="s">
        <v>78</v>
      </c>
      <c r="D118">
        <v>1207196</v>
      </c>
      <c r="E118" t="s">
        <v>37</v>
      </c>
    </row>
    <row r="119" spans="1:6" ht="16.5" customHeight="1">
      <c r="A119" t="s">
        <v>107</v>
      </c>
      <c r="B119">
        <v>58</v>
      </c>
      <c r="C119" s="1" t="s">
        <v>106</v>
      </c>
      <c r="D119">
        <v>963718</v>
      </c>
      <c r="E119" t="s">
        <v>35</v>
      </c>
    </row>
    <row r="120" spans="1:6" ht="16.5" customHeight="1">
      <c r="A120" t="s">
        <v>107</v>
      </c>
      <c r="B120">
        <v>59</v>
      </c>
      <c r="C120" s="1" t="s">
        <v>99</v>
      </c>
      <c r="D120">
        <v>700489</v>
      </c>
      <c r="E120" t="s">
        <v>35</v>
      </c>
    </row>
    <row r="121" spans="1:6" ht="16.5" customHeight="1">
      <c r="A121" t="s">
        <v>107</v>
      </c>
      <c r="B121">
        <v>60</v>
      </c>
      <c r="C121" s="1" t="s">
        <v>96</v>
      </c>
      <c r="D121">
        <v>659256</v>
      </c>
      <c r="E121" t="s">
        <v>35</v>
      </c>
    </row>
    <row r="122" spans="1:6" ht="16.5" customHeight="1">
      <c r="A122" t="s">
        <v>107</v>
      </c>
      <c r="B122">
        <v>61</v>
      </c>
      <c r="C122" s="1" t="s">
        <v>111</v>
      </c>
      <c r="D122">
        <v>384395</v>
      </c>
      <c r="E122" t="s">
        <v>31</v>
      </c>
    </row>
    <row r="123" spans="1:6" ht="16.5" customHeight="1">
      <c r="A123" t="s">
        <v>107</v>
      </c>
      <c r="B123">
        <v>62</v>
      </c>
      <c r="C123" s="1" t="s">
        <v>112</v>
      </c>
      <c r="D123">
        <v>327964</v>
      </c>
      <c r="E123" t="s">
        <v>31</v>
      </c>
    </row>
    <row r="124" spans="1:6" ht="16.5" customHeight="1">
      <c r="A124" t="s">
        <v>107</v>
      </c>
      <c r="B124">
        <v>63</v>
      </c>
      <c r="C124" s="1" t="s">
        <v>113</v>
      </c>
      <c r="D124">
        <v>266932</v>
      </c>
      <c r="E124" t="s">
        <v>31</v>
      </c>
    </row>
    <row r="125" spans="1:6" ht="16.5" customHeight="1">
      <c r="A125" t="s">
        <v>107</v>
      </c>
      <c r="B125">
        <v>64</v>
      </c>
      <c r="C125" s="1" t="s">
        <v>114</v>
      </c>
      <c r="D125">
        <v>89508</v>
      </c>
      <c r="E125" t="s">
        <v>29</v>
      </c>
    </row>
    <row r="126" spans="1:6" ht="16.5" customHeight="1">
      <c r="A126" t="s">
        <v>115</v>
      </c>
      <c r="B126" t="s">
        <v>116</v>
      </c>
      <c r="C126" s="1" t="s">
        <v>117</v>
      </c>
      <c r="D126" s="2"/>
      <c r="E126" s="3"/>
    </row>
    <row r="127" spans="1:6" ht="16.5" customHeight="1">
      <c r="A127" t="s">
        <v>115</v>
      </c>
      <c r="B127">
        <v>1</v>
      </c>
      <c r="C127" s="1" t="s">
        <v>118</v>
      </c>
      <c r="D127">
        <v>76513151</v>
      </c>
      <c r="E127" t="s">
        <v>43</v>
      </c>
      <c r="F127" s="1" t="s">
        <v>119</v>
      </c>
    </row>
    <row r="128" spans="1:6" ht="16.5" customHeight="1">
      <c r="A128" t="s">
        <v>115</v>
      </c>
      <c r="B128">
        <v>2</v>
      </c>
      <c r="C128" t="s">
        <v>69</v>
      </c>
      <c r="D128">
        <v>62254586</v>
      </c>
      <c r="E128" t="s">
        <v>43</v>
      </c>
    </row>
    <row r="129" spans="1:5" ht="16.5" customHeight="1">
      <c r="A129" t="s">
        <v>115</v>
      </c>
      <c r="B129">
        <v>3</v>
      </c>
      <c r="C129" s="1" t="s">
        <v>73</v>
      </c>
      <c r="D129">
        <v>36598969</v>
      </c>
      <c r="E129" t="s">
        <v>43</v>
      </c>
    </row>
    <row r="130" spans="1:5" ht="16.5" customHeight="1">
      <c r="A130" t="s">
        <v>115</v>
      </c>
      <c r="B130">
        <v>4</v>
      </c>
      <c r="C130" s="1" t="s">
        <v>17</v>
      </c>
      <c r="D130">
        <v>26859795</v>
      </c>
      <c r="E130" t="s">
        <v>43</v>
      </c>
    </row>
    <row r="131" spans="1:5" ht="16.5" customHeight="1">
      <c r="A131" t="s">
        <v>115</v>
      </c>
      <c r="B131">
        <v>5</v>
      </c>
      <c r="C131" s="1" t="s">
        <v>120</v>
      </c>
      <c r="D131">
        <v>22027625</v>
      </c>
      <c r="E131" t="s">
        <v>43</v>
      </c>
    </row>
    <row r="132" spans="1:5" ht="16.5" customHeight="1">
      <c r="A132" t="s">
        <v>115</v>
      </c>
      <c r="B132">
        <v>6</v>
      </c>
      <c r="C132" s="1" t="s">
        <v>51</v>
      </c>
      <c r="D132">
        <v>19336746</v>
      </c>
      <c r="E132" t="s">
        <v>43</v>
      </c>
    </row>
    <row r="133" spans="1:5" ht="16.5" customHeight="1">
      <c r="A133" t="s">
        <v>115</v>
      </c>
      <c r="B133">
        <v>7</v>
      </c>
      <c r="C133" t="s">
        <v>57</v>
      </c>
      <c r="D133">
        <v>17008882</v>
      </c>
      <c r="E133" t="s">
        <v>43</v>
      </c>
    </row>
    <row r="134" spans="1:5" ht="16.5" customHeight="1">
      <c r="A134" t="s">
        <v>115</v>
      </c>
      <c r="B134">
        <v>8</v>
      </c>
      <c r="C134" s="1" t="s">
        <v>61</v>
      </c>
      <c r="D134">
        <v>16620269</v>
      </c>
      <c r="E134" t="s">
        <v>43</v>
      </c>
    </row>
    <row r="135" spans="1:5" ht="16.5" customHeight="1">
      <c r="A135" t="s">
        <v>115</v>
      </c>
      <c r="B135">
        <v>9</v>
      </c>
      <c r="C135" s="1" t="s">
        <v>121</v>
      </c>
      <c r="D135">
        <v>15971399</v>
      </c>
      <c r="E135" t="s">
        <v>43</v>
      </c>
    </row>
    <row r="136" spans="1:5" ht="16.5" customHeight="1">
      <c r="A136" t="s">
        <v>115</v>
      </c>
      <c r="B136">
        <v>10</v>
      </c>
      <c r="C136" s="1" t="s">
        <v>62</v>
      </c>
      <c r="D136">
        <v>15579579</v>
      </c>
      <c r="E136" t="s">
        <v>43</v>
      </c>
    </row>
    <row r="137" spans="1:5" ht="16.5" customHeight="1">
      <c r="A137" t="s">
        <v>115</v>
      </c>
      <c r="B137">
        <v>11</v>
      </c>
      <c r="C137" s="1" t="s">
        <v>71</v>
      </c>
      <c r="D137">
        <v>15166835</v>
      </c>
      <c r="E137" t="s">
        <v>43</v>
      </c>
    </row>
    <row r="138" spans="1:5" ht="16.5" customHeight="1">
      <c r="A138" t="s">
        <v>115</v>
      </c>
      <c r="B138">
        <v>12</v>
      </c>
      <c r="C138" s="1" t="s">
        <v>82</v>
      </c>
      <c r="D138">
        <v>15136017</v>
      </c>
      <c r="E138" t="s">
        <v>43</v>
      </c>
    </row>
    <row r="139" spans="1:5" ht="16.5" customHeight="1">
      <c r="A139" t="s">
        <v>115</v>
      </c>
      <c r="B139">
        <v>13</v>
      </c>
      <c r="C139" s="1" t="s">
        <v>67</v>
      </c>
      <c r="D139">
        <v>15045625</v>
      </c>
      <c r="E139" t="s">
        <v>43</v>
      </c>
    </row>
    <row r="140" spans="1:5" ht="16.5" customHeight="1">
      <c r="A140" t="s">
        <v>115</v>
      </c>
      <c r="B140">
        <v>14</v>
      </c>
      <c r="C140" s="1" t="s">
        <v>122</v>
      </c>
      <c r="D140">
        <v>11929975</v>
      </c>
      <c r="E140" t="s">
        <v>43</v>
      </c>
    </row>
    <row r="141" spans="1:5" ht="16.5" customHeight="1">
      <c r="A141" t="s">
        <v>115</v>
      </c>
      <c r="B141">
        <v>15</v>
      </c>
      <c r="C141" s="1" t="s">
        <v>54</v>
      </c>
      <c r="D141">
        <v>11703867</v>
      </c>
      <c r="E141" t="s">
        <v>43</v>
      </c>
    </row>
    <row r="142" spans="1:5" ht="16.5" customHeight="1">
      <c r="A142" t="s">
        <v>115</v>
      </c>
      <c r="B142">
        <v>16</v>
      </c>
      <c r="C142" s="1" t="s">
        <v>123</v>
      </c>
      <c r="D142">
        <v>11641804</v>
      </c>
      <c r="E142" t="s">
        <v>43</v>
      </c>
    </row>
    <row r="143" spans="1:5" ht="16.5" customHeight="1">
      <c r="A143" t="s">
        <v>115</v>
      </c>
      <c r="B143">
        <v>17</v>
      </c>
      <c r="C143" s="1" t="s">
        <v>75</v>
      </c>
      <c r="D143">
        <v>11224132</v>
      </c>
      <c r="E143" t="s">
        <v>43</v>
      </c>
    </row>
    <row r="144" spans="1:5" ht="16.5" customHeight="1">
      <c r="A144" t="s">
        <v>115</v>
      </c>
      <c r="B144">
        <v>18</v>
      </c>
      <c r="C144" s="1" t="s">
        <v>124</v>
      </c>
      <c r="D144">
        <v>11128193</v>
      </c>
      <c r="E144" t="s">
        <v>43</v>
      </c>
    </row>
    <row r="145" spans="1:5" ht="16.5" customHeight="1">
      <c r="A145" t="s">
        <v>115</v>
      </c>
      <c r="B145">
        <v>19</v>
      </c>
      <c r="C145" s="1" t="s">
        <v>60</v>
      </c>
      <c r="D145">
        <v>10907771</v>
      </c>
      <c r="E145" t="s">
        <v>43</v>
      </c>
    </row>
    <row r="146" spans="1:5" ht="16.5" customHeight="1">
      <c r="A146" t="s">
        <v>115</v>
      </c>
      <c r="B146">
        <v>20</v>
      </c>
      <c r="C146" s="1" t="s">
        <v>20</v>
      </c>
      <c r="D146">
        <v>10606882</v>
      </c>
      <c r="E146" t="s">
        <v>43</v>
      </c>
    </row>
    <row r="147" spans="1:5" ht="16.5" customHeight="1">
      <c r="A147" t="s">
        <v>115</v>
      </c>
      <c r="B147">
        <v>21</v>
      </c>
      <c r="C147" s="1" t="s">
        <v>53</v>
      </c>
      <c r="D147">
        <v>10422796</v>
      </c>
      <c r="E147" t="s">
        <v>43</v>
      </c>
    </row>
    <row r="148" spans="1:5" ht="16.5" customHeight="1">
      <c r="A148" t="s">
        <v>115</v>
      </c>
      <c r="B148">
        <v>22</v>
      </c>
      <c r="C148" s="1" t="s">
        <v>56</v>
      </c>
      <c r="D148">
        <v>10412768</v>
      </c>
      <c r="E148" t="s">
        <v>43</v>
      </c>
    </row>
    <row r="149" spans="1:5" ht="16.5" customHeight="1">
      <c r="A149" t="s">
        <v>115</v>
      </c>
      <c r="B149">
        <v>23</v>
      </c>
      <c r="C149" s="1" t="s">
        <v>125</v>
      </c>
      <c r="D149">
        <v>10128124</v>
      </c>
      <c r="E149" t="s">
        <v>43</v>
      </c>
    </row>
    <row r="150" spans="1:5" ht="16.5" customHeight="1">
      <c r="A150" t="s">
        <v>115</v>
      </c>
      <c r="B150">
        <v>24</v>
      </c>
      <c r="C150" s="1" t="s">
        <v>68</v>
      </c>
      <c r="D150">
        <v>9706739</v>
      </c>
      <c r="E150" t="s">
        <v>43</v>
      </c>
    </row>
    <row r="151" spans="1:5" ht="16.5" customHeight="1">
      <c r="A151" t="s">
        <v>115</v>
      </c>
      <c r="B151">
        <v>25</v>
      </c>
      <c r="C151" s="1" t="s">
        <v>126</v>
      </c>
      <c r="D151">
        <v>9164119</v>
      </c>
      <c r="E151" t="s">
        <v>43</v>
      </c>
    </row>
    <row r="152" spans="1:5" ht="16.5" customHeight="1">
      <c r="A152" t="s">
        <v>115</v>
      </c>
      <c r="B152">
        <v>26</v>
      </c>
      <c r="C152" s="1" t="s">
        <v>84</v>
      </c>
      <c r="D152">
        <v>8999382</v>
      </c>
      <c r="E152" t="s">
        <v>43</v>
      </c>
    </row>
    <row r="153" spans="1:5" ht="16.5" customHeight="1">
      <c r="A153" t="s">
        <v>115</v>
      </c>
      <c r="B153">
        <v>27</v>
      </c>
      <c r="C153" s="1" t="s">
        <v>64</v>
      </c>
      <c r="D153">
        <v>8596217</v>
      </c>
      <c r="E153" t="s">
        <v>43</v>
      </c>
    </row>
    <row r="154" spans="1:5" ht="16.5" customHeight="1">
      <c r="A154" t="s">
        <v>115</v>
      </c>
      <c r="B154">
        <v>28</v>
      </c>
      <c r="C154" s="1" t="s">
        <v>100</v>
      </c>
      <c r="D154">
        <v>8456726</v>
      </c>
      <c r="E154" t="s">
        <v>43</v>
      </c>
    </row>
    <row r="155" spans="1:5" ht="16.5" customHeight="1">
      <c r="A155" t="s">
        <v>115</v>
      </c>
      <c r="B155">
        <v>29</v>
      </c>
      <c r="C155" s="1" t="s">
        <v>85</v>
      </c>
      <c r="D155">
        <v>8220352</v>
      </c>
      <c r="E155" t="s">
        <v>43</v>
      </c>
    </row>
    <row r="156" spans="1:5" ht="16.5" customHeight="1">
      <c r="A156" t="s">
        <v>115</v>
      </c>
      <c r="B156">
        <v>30</v>
      </c>
      <c r="C156" s="1" t="s">
        <v>127</v>
      </c>
      <c r="D156">
        <v>8154156</v>
      </c>
      <c r="E156" t="s">
        <v>43</v>
      </c>
    </row>
    <row r="157" spans="1:5" ht="16.5" customHeight="1">
      <c r="A157" t="s">
        <v>115</v>
      </c>
      <c r="B157">
        <v>31</v>
      </c>
      <c r="C157" s="1" t="s">
        <v>93</v>
      </c>
      <c r="D157">
        <v>8127020</v>
      </c>
      <c r="E157" t="s">
        <v>43</v>
      </c>
    </row>
    <row r="158" spans="1:5" ht="16.5" customHeight="1">
      <c r="A158" t="s">
        <v>115</v>
      </c>
      <c r="B158">
        <v>32</v>
      </c>
      <c r="C158" s="1" t="s">
        <v>128</v>
      </c>
      <c r="D158">
        <v>7952273</v>
      </c>
      <c r="E158" t="s">
        <v>43</v>
      </c>
    </row>
    <row r="159" spans="1:5" ht="16.5" customHeight="1">
      <c r="A159" t="s">
        <v>115</v>
      </c>
      <c r="B159">
        <v>33</v>
      </c>
      <c r="C159" s="1" t="s">
        <v>129</v>
      </c>
      <c r="D159">
        <v>7918857</v>
      </c>
      <c r="E159" t="s">
        <v>43</v>
      </c>
    </row>
    <row r="160" spans="1:5" ht="16.5" customHeight="1">
      <c r="A160" t="s">
        <v>115</v>
      </c>
      <c r="B160">
        <v>34</v>
      </c>
      <c r="C160" s="1" t="s">
        <v>65</v>
      </c>
      <c r="D160">
        <v>7909501</v>
      </c>
      <c r="E160" t="s">
        <v>43</v>
      </c>
    </row>
    <row r="161" spans="1:5" ht="16.5" customHeight="1">
      <c r="A161" t="s">
        <v>115</v>
      </c>
      <c r="B161">
        <v>35</v>
      </c>
      <c r="C161" s="1" t="s">
        <v>97</v>
      </c>
      <c r="D161">
        <v>7876636</v>
      </c>
      <c r="E161" t="s">
        <v>43</v>
      </c>
    </row>
    <row r="162" spans="1:5" ht="16.5" customHeight="1">
      <c r="A162" t="s">
        <v>115</v>
      </c>
      <c r="B162">
        <v>36</v>
      </c>
      <c r="C162" s="1" t="s">
        <v>130</v>
      </c>
      <c r="D162">
        <v>7824653</v>
      </c>
      <c r="E162" t="s">
        <v>43</v>
      </c>
    </row>
    <row r="163" spans="1:5" ht="16.5" customHeight="1">
      <c r="A163" t="s">
        <v>115</v>
      </c>
      <c r="B163">
        <v>37</v>
      </c>
      <c r="C163" s="1" t="s">
        <v>63</v>
      </c>
      <c r="D163">
        <v>7823884</v>
      </c>
      <c r="E163" t="s">
        <v>43</v>
      </c>
    </row>
    <row r="164" spans="1:5" ht="16.5" customHeight="1">
      <c r="A164" t="s">
        <v>115</v>
      </c>
      <c r="B164">
        <v>38</v>
      </c>
      <c r="C164" s="1" t="s">
        <v>104</v>
      </c>
      <c r="D164">
        <v>7679597</v>
      </c>
      <c r="E164" t="s">
        <v>43</v>
      </c>
    </row>
    <row r="165" spans="1:5" ht="16.5" customHeight="1">
      <c r="A165" t="s">
        <v>115</v>
      </c>
      <c r="B165">
        <v>39</v>
      </c>
      <c r="C165" s="1" t="s">
        <v>2</v>
      </c>
      <c r="D165">
        <v>7635056</v>
      </c>
      <c r="E165" t="s">
        <v>43</v>
      </c>
    </row>
    <row r="166" spans="1:5" ht="16.5" customHeight="1">
      <c r="A166" t="s">
        <v>115</v>
      </c>
      <c r="B166">
        <v>40</v>
      </c>
      <c r="C166" s="1" t="s">
        <v>131</v>
      </c>
      <c r="D166">
        <v>7579677</v>
      </c>
      <c r="E166" t="s">
        <v>43</v>
      </c>
    </row>
    <row r="167" spans="1:5" ht="16.5" customHeight="1">
      <c r="A167" t="s">
        <v>115</v>
      </c>
      <c r="B167">
        <v>41</v>
      </c>
      <c r="C167" s="1" t="s">
        <v>81</v>
      </c>
      <c r="D167">
        <v>7552044</v>
      </c>
      <c r="E167" t="s">
        <v>43</v>
      </c>
    </row>
    <row r="168" spans="1:5" ht="16.5" customHeight="1">
      <c r="A168" t="s">
        <v>115</v>
      </c>
      <c r="B168">
        <v>42</v>
      </c>
      <c r="C168" s="1" t="s">
        <v>95</v>
      </c>
      <c r="D168">
        <v>7462230</v>
      </c>
      <c r="E168" t="s">
        <v>43</v>
      </c>
    </row>
    <row r="169" spans="1:5" ht="16.5" customHeight="1">
      <c r="A169" t="s">
        <v>115</v>
      </c>
      <c r="B169">
        <v>43</v>
      </c>
      <c r="C169" s="1" t="s">
        <v>94</v>
      </c>
      <c r="D169">
        <v>7423633</v>
      </c>
      <c r="E169" t="s">
        <v>43</v>
      </c>
    </row>
    <row r="170" spans="1:5" ht="16.5" customHeight="1">
      <c r="A170" t="s">
        <v>115</v>
      </c>
      <c r="B170">
        <v>44</v>
      </c>
      <c r="C170" s="1" t="s">
        <v>74</v>
      </c>
      <c r="D170">
        <v>7327050</v>
      </c>
      <c r="E170" t="s">
        <v>43</v>
      </c>
    </row>
    <row r="171" spans="1:5" ht="16.5" customHeight="1">
      <c r="A171" t="s">
        <v>115</v>
      </c>
      <c r="B171">
        <v>45</v>
      </c>
      <c r="C171" s="1" t="s">
        <v>77</v>
      </c>
      <c r="D171">
        <v>6678842</v>
      </c>
      <c r="E171" t="s">
        <v>41</v>
      </c>
    </row>
    <row r="172" spans="1:5" ht="16.5" customHeight="1">
      <c r="A172" t="s">
        <v>115</v>
      </c>
      <c r="B172">
        <v>46</v>
      </c>
      <c r="C172" s="1" t="s">
        <v>132</v>
      </c>
      <c r="D172">
        <v>6177989</v>
      </c>
      <c r="E172" t="s">
        <v>41</v>
      </c>
    </row>
    <row r="173" spans="1:5" ht="16.5" customHeight="1">
      <c r="A173" t="s">
        <v>115</v>
      </c>
      <c r="B173">
        <v>47</v>
      </c>
      <c r="C173" s="1" t="s">
        <v>78</v>
      </c>
      <c r="D173">
        <v>5901298</v>
      </c>
      <c r="E173" t="s">
        <v>41</v>
      </c>
    </row>
    <row r="174" spans="1:5" ht="16.5" customHeight="1">
      <c r="A174" t="s">
        <v>115</v>
      </c>
      <c r="B174">
        <v>48</v>
      </c>
      <c r="C174" s="1" t="s">
        <v>105</v>
      </c>
      <c r="D174">
        <v>5097585</v>
      </c>
      <c r="E174" t="s">
        <v>41</v>
      </c>
    </row>
    <row r="175" spans="1:5" ht="16.5" customHeight="1">
      <c r="A175" t="s">
        <v>115</v>
      </c>
      <c r="B175">
        <v>49</v>
      </c>
      <c r="C175" s="1" t="s">
        <v>80</v>
      </c>
      <c r="D175">
        <v>5036088</v>
      </c>
      <c r="E175" t="s">
        <v>41</v>
      </c>
    </row>
    <row r="176" spans="1:5" ht="16.5" customHeight="1">
      <c r="A176" t="s">
        <v>115</v>
      </c>
      <c r="B176">
        <v>50</v>
      </c>
      <c r="C176" s="1" t="s">
        <v>90</v>
      </c>
      <c r="D176">
        <v>4821347</v>
      </c>
      <c r="E176" t="s">
        <v>41</v>
      </c>
    </row>
    <row r="177" spans="1:5" ht="16.5" customHeight="1">
      <c r="A177" t="s">
        <v>115</v>
      </c>
      <c r="B177">
        <v>51</v>
      </c>
      <c r="C177" s="1" t="s">
        <v>79</v>
      </c>
      <c r="D177">
        <v>4599953</v>
      </c>
      <c r="E177" t="s">
        <v>41</v>
      </c>
    </row>
    <row r="178" spans="1:5" ht="16.5" customHeight="1">
      <c r="A178" t="s">
        <v>115</v>
      </c>
      <c r="B178">
        <v>52</v>
      </c>
      <c r="C178" s="1" t="s">
        <v>86</v>
      </c>
      <c r="D178">
        <v>4332112</v>
      </c>
      <c r="E178" t="s">
        <v>41</v>
      </c>
    </row>
    <row r="179" spans="1:5" ht="16.5" customHeight="1">
      <c r="A179" t="s">
        <v>115</v>
      </c>
      <c r="B179">
        <v>53</v>
      </c>
      <c r="C179" s="1" t="s">
        <v>88</v>
      </c>
      <c r="D179">
        <v>4235009</v>
      </c>
      <c r="E179" t="s">
        <v>41</v>
      </c>
    </row>
    <row r="180" spans="1:5" ht="16.5" customHeight="1">
      <c r="A180" t="s">
        <v>115</v>
      </c>
      <c r="B180">
        <v>54</v>
      </c>
      <c r="C180" s="1" t="s">
        <v>58</v>
      </c>
      <c r="D180">
        <v>4226803</v>
      </c>
      <c r="E180" t="s">
        <v>41</v>
      </c>
    </row>
    <row r="181" spans="1:5" ht="16.5" customHeight="1">
      <c r="A181" t="s">
        <v>115</v>
      </c>
      <c r="B181">
        <v>55</v>
      </c>
      <c r="C181" s="1" t="s">
        <v>10</v>
      </c>
      <c r="D181">
        <v>3992666</v>
      </c>
      <c r="E181" t="s">
        <v>41</v>
      </c>
    </row>
    <row r="182" spans="1:5" ht="16.5" customHeight="1">
      <c r="A182" t="s">
        <v>115</v>
      </c>
      <c r="B182">
        <v>56</v>
      </c>
      <c r="C182" s="1" t="s">
        <v>83</v>
      </c>
      <c r="D182">
        <v>3935236</v>
      </c>
      <c r="E182" t="s">
        <v>41</v>
      </c>
    </row>
    <row r="183" spans="1:5" ht="16.5" customHeight="1">
      <c r="A183" t="s">
        <v>115</v>
      </c>
      <c r="B183">
        <v>57</v>
      </c>
      <c r="C183" s="1" t="s">
        <v>96</v>
      </c>
      <c r="D183">
        <v>3819189</v>
      </c>
      <c r="E183" t="s">
        <v>41</v>
      </c>
    </row>
    <row r="184" spans="1:5" ht="16.5" customHeight="1">
      <c r="A184" t="s">
        <v>115</v>
      </c>
      <c r="B184">
        <v>58</v>
      </c>
      <c r="C184" s="1" t="s">
        <v>109</v>
      </c>
      <c r="D184">
        <v>2896389</v>
      </c>
      <c r="E184" t="s">
        <v>41</v>
      </c>
    </row>
    <row r="185" spans="1:5" ht="16.5" customHeight="1">
      <c r="A185" t="s">
        <v>115</v>
      </c>
      <c r="B185">
        <v>59</v>
      </c>
      <c r="C185" s="1" t="s">
        <v>103</v>
      </c>
      <c r="D185">
        <v>2645896</v>
      </c>
      <c r="E185" t="s">
        <v>41</v>
      </c>
    </row>
    <row r="186" spans="1:5" ht="16.5" customHeight="1">
      <c r="A186" t="s">
        <v>115</v>
      </c>
      <c r="B186">
        <v>60</v>
      </c>
      <c r="C186" t="s">
        <v>110</v>
      </c>
      <c r="D186">
        <v>2195612</v>
      </c>
      <c r="E186" t="s">
        <v>37</v>
      </c>
    </row>
    <row r="187" spans="1:5" ht="16.5" customHeight="1">
      <c r="A187" t="s">
        <v>115</v>
      </c>
      <c r="B187">
        <v>61</v>
      </c>
      <c r="C187" s="1" t="s">
        <v>92</v>
      </c>
      <c r="D187">
        <v>1908787</v>
      </c>
      <c r="E187" t="s">
        <v>37</v>
      </c>
    </row>
    <row r="188" spans="1:5" ht="16.5" customHeight="1">
      <c r="A188" t="s">
        <v>115</v>
      </c>
      <c r="B188">
        <v>62</v>
      </c>
      <c r="C188" s="1" t="s">
        <v>89</v>
      </c>
      <c r="D188">
        <v>1890847</v>
      </c>
      <c r="E188" t="s">
        <v>37</v>
      </c>
    </row>
    <row r="189" spans="1:5" ht="16.5" customHeight="1">
      <c r="A189" t="s">
        <v>115</v>
      </c>
      <c r="B189">
        <v>63</v>
      </c>
      <c r="C189" s="1" t="s">
        <v>101</v>
      </c>
      <c r="D189">
        <v>1772463</v>
      </c>
      <c r="E189" t="s">
        <v>37</v>
      </c>
    </row>
    <row r="190" spans="1:5" ht="16.5" customHeight="1">
      <c r="A190" t="s">
        <v>115</v>
      </c>
      <c r="B190">
        <v>64</v>
      </c>
      <c r="C190" s="1" t="s">
        <v>99</v>
      </c>
      <c r="D190">
        <v>1472500</v>
      </c>
      <c r="E190" t="s">
        <v>37</v>
      </c>
    </row>
    <row r="191" spans="1:5" ht="16.5" customHeight="1">
      <c r="A191" t="s">
        <v>115</v>
      </c>
      <c r="B191">
        <v>65</v>
      </c>
      <c r="C191" s="1" t="s">
        <v>106</v>
      </c>
      <c r="D191">
        <v>1425274</v>
      </c>
      <c r="E191" t="s">
        <v>37</v>
      </c>
    </row>
    <row r="192" spans="1:5" ht="16.5" customHeight="1">
      <c r="A192" t="s">
        <v>115</v>
      </c>
      <c r="B192">
        <v>66</v>
      </c>
      <c r="C192" s="1" t="s">
        <v>111</v>
      </c>
      <c r="D192">
        <v>1226829</v>
      </c>
      <c r="E192" t="s">
        <v>37</v>
      </c>
    </row>
    <row r="193" spans="1:6" ht="16.5" customHeight="1">
      <c r="A193" t="s">
        <v>115</v>
      </c>
      <c r="B193">
        <v>67</v>
      </c>
      <c r="C193" s="1" t="s">
        <v>113</v>
      </c>
      <c r="D193">
        <v>460000</v>
      </c>
      <c r="E193" t="s">
        <v>31</v>
      </c>
    </row>
    <row r="194" spans="1:6" ht="16.5" customHeight="1">
      <c r="A194" t="s">
        <v>133</v>
      </c>
      <c r="B194" s="4">
        <v>1</v>
      </c>
      <c r="C194" s="5" t="s">
        <v>51</v>
      </c>
      <c r="D194" s="6">
        <v>15915600</v>
      </c>
      <c r="E194" s="3" t="str">
        <f>IF($D194="","",VLOOKUP($D194,기준표!$B$4:$C$12,2,TRUE()))</f>
        <v>9단계</v>
      </c>
      <c r="F194" s="1" t="s">
        <v>119</v>
      </c>
    </row>
    <row r="195" spans="1:6" ht="16.5" customHeight="1">
      <c r="A195" t="s">
        <v>133</v>
      </c>
      <c r="B195" s="4">
        <v>2</v>
      </c>
      <c r="C195" s="5" t="s">
        <v>118</v>
      </c>
      <c r="D195" s="6">
        <v>12925350</v>
      </c>
      <c r="E195" s="3" t="str">
        <f>IF($D195="","",VLOOKUP($D195,기준표!$B$4:$C$12,2,TRUE()))</f>
        <v>9단계</v>
      </c>
      <c r="F195" s="1" t="s">
        <v>119</v>
      </c>
    </row>
    <row r="196" spans="1:6" ht="16.5" customHeight="1">
      <c r="A196" t="s">
        <v>133</v>
      </c>
      <c r="B196" s="4">
        <v>3</v>
      </c>
      <c r="C196" s="5" t="s">
        <v>126</v>
      </c>
      <c r="D196" s="6">
        <v>12016650</v>
      </c>
      <c r="E196" s="3" t="str">
        <f>IF($D196="","",VLOOKUP($D196,기준표!$B$4:$C$12,2,TRUE()))</f>
        <v>9단계</v>
      </c>
      <c r="F196" s="1" t="s">
        <v>119</v>
      </c>
    </row>
    <row r="197" spans="1:6" ht="16.5" customHeight="1">
      <c r="A197" t="s">
        <v>133</v>
      </c>
      <c r="B197" s="4">
        <v>4</v>
      </c>
      <c r="C197" s="5" t="s">
        <v>74</v>
      </c>
      <c r="D197" s="6">
        <v>9907350</v>
      </c>
      <c r="E197" s="3" t="str">
        <f>IF($D197="","",VLOOKUP($D197,기준표!$B$4:$C$12,2,TRUE()))</f>
        <v>9단계</v>
      </c>
      <c r="F197" s="1" t="s">
        <v>119</v>
      </c>
    </row>
    <row r="198" spans="1:6" ht="16.5" customHeight="1">
      <c r="A198" t="s">
        <v>133</v>
      </c>
      <c r="B198" s="4">
        <v>5</v>
      </c>
      <c r="C198" s="5" t="s">
        <v>64</v>
      </c>
      <c r="D198" s="6">
        <v>9868650</v>
      </c>
      <c r="E198" s="3" t="str">
        <f>IF($D198="","",VLOOKUP($D198,기준표!$B$4:$C$12,2,TRUE()))</f>
        <v>9단계</v>
      </c>
      <c r="F198" s="1" t="s">
        <v>119</v>
      </c>
    </row>
    <row r="199" spans="1:6" ht="16.5" customHeight="1">
      <c r="A199" t="s">
        <v>133</v>
      </c>
      <c r="B199" s="4">
        <v>6</v>
      </c>
      <c r="C199" s="5" t="s">
        <v>73</v>
      </c>
      <c r="D199" s="6">
        <v>9143700</v>
      </c>
      <c r="E199" s="3" t="str">
        <f>IF($D199="","",VLOOKUP($D199,기준표!$B$4:$C$12,2,TRUE()))</f>
        <v>9단계</v>
      </c>
      <c r="F199" s="1" t="s">
        <v>119</v>
      </c>
    </row>
    <row r="200" spans="1:6" ht="16.5" customHeight="1">
      <c r="A200" t="s">
        <v>133</v>
      </c>
      <c r="B200" s="4">
        <v>7</v>
      </c>
      <c r="C200" s="7" t="s">
        <v>57</v>
      </c>
      <c r="D200" s="6">
        <v>9141450</v>
      </c>
      <c r="E200" s="3" t="str">
        <f>IF($D200="","",VLOOKUP($D200,기준표!$B$4:$C$12,2,TRUE()))</f>
        <v>9단계</v>
      </c>
      <c r="F200" s="1" t="s">
        <v>119</v>
      </c>
    </row>
    <row r="201" spans="1:6" ht="16.5" customHeight="1">
      <c r="A201" t="s">
        <v>133</v>
      </c>
      <c r="B201" s="4">
        <v>8</v>
      </c>
      <c r="C201" s="5" t="s">
        <v>67</v>
      </c>
      <c r="D201" s="6">
        <v>9065250</v>
      </c>
      <c r="E201" s="3" t="str">
        <f>IF($D201="","",VLOOKUP($D201,기준표!$B$4:$C$12,2,TRUE()))</f>
        <v>9단계</v>
      </c>
      <c r="F201" s="1" t="s">
        <v>119</v>
      </c>
    </row>
    <row r="202" spans="1:6" ht="16.5" customHeight="1">
      <c r="A202" t="s">
        <v>133</v>
      </c>
      <c r="B202" s="4">
        <v>9</v>
      </c>
      <c r="C202" s="5" t="s">
        <v>84</v>
      </c>
      <c r="D202" s="6">
        <v>9017250</v>
      </c>
      <c r="E202" s="3" t="str">
        <f>IF($D202="","",VLOOKUP($D202,기준표!$B$4:$C$12,2,TRUE()))</f>
        <v>9단계</v>
      </c>
      <c r="F202" s="1" t="s">
        <v>119</v>
      </c>
    </row>
    <row r="203" spans="1:6" ht="16.5" customHeight="1">
      <c r="A203" t="s">
        <v>133</v>
      </c>
      <c r="B203" s="4">
        <v>10</v>
      </c>
      <c r="C203" s="5" t="s">
        <v>71</v>
      </c>
      <c r="D203" s="6">
        <v>8908800</v>
      </c>
      <c r="E203" s="3" t="str">
        <f>IF($D203="","",VLOOKUP($D203,기준표!$B$4:$C$12,2,TRUE()))</f>
        <v>9단계</v>
      </c>
      <c r="F203" s="1" t="s">
        <v>119</v>
      </c>
    </row>
    <row r="204" spans="1:6" ht="16.5" customHeight="1">
      <c r="A204" t="s">
        <v>133</v>
      </c>
      <c r="B204" s="4">
        <v>11</v>
      </c>
      <c r="C204" s="5" t="s">
        <v>60</v>
      </c>
      <c r="D204" s="6">
        <v>8266050</v>
      </c>
      <c r="E204" s="3" t="str">
        <f>IF($D204="","",VLOOKUP($D204,기준표!$B$4:$C$12,2,TRUE()))</f>
        <v>9단계</v>
      </c>
      <c r="F204" s="1" t="s">
        <v>119</v>
      </c>
    </row>
    <row r="205" spans="1:6" ht="16.5" customHeight="1">
      <c r="A205" t="s">
        <v>133</v>
      </c>
      <c r="B205" s="4">
        <v>12</v>
      </c>
      <c r="C205" s="5" t="s">
        <v>20</v>
      </c>
      <c r="D205" s="6">
        <v>8226750</v>
      </c>
      <c r="E205" s="3" t="str">
        <f>IF($D205="","",VLOOKUP($D205,기준표!$B$4:$C$12,2,TRUE()))</f>
        <v>9단계</v>
      </c>
      <c r="F205" s="1" t="s">
        <v>119</v>
      </c>
    </row>
    <row r="206" spans="1:6" ht="16.5" customHeight="1">
      <c r="A206" t="s">
        <v>133</v>
      </c>
      <c r="B206" s="4">
        <v>13</v>
      </c>
      <c r="C206" s="5" t="s">
        <v>128</v>
      </c>
      <c r="D206" s="6">
        <v>8125259</v>
      </c>
      <c r="E206" s="3" t="str">
        <f>IF($D206="","",VLOOKUP($D206,기준표!$B$4:$C$12,2,TRUE()))</f>
        <v>9단계</v>
      </c>
      <c r="F206" s="1" t="s">
        <v>119</v>
      </c>
    </row>
    <row r="207" spans="1:6" ht="16.5" customHeight="1">
      <c r="A207" t="s">
        <v>133</v>
      </c>
      <c r="B207" s="4">
        <v>14</v>
      </c>
      <c r="C207" s="5" t="s">
        <v>63</v>
      </c>
      <c r="D207" s="6">
        <v>7855412</v>
      </c>
      <c r="E207" s="3" t="str">
        <f>IF($D207="","",VLOOKUP($D207,기준표!$B$4:$C$12,2,TRUE()))</f>
        <v>9단계</v>
      </c>
      <c r="F207" s="1" t="s">
        <v>119</v>
      </c>
    </row>
    <row r="208" spans="1:6" ht="16.5" customHeight="1">
      <c r="A208" t="s">
        <v>133</v>
      </c>
      <c r="B208" s="4">
        <v>15</v>
      </c>
      <c r="C208" s="5" t="s">
        <v>69</v>
      </c>
      <c r="D208" s="6">
        <v>7740750</v>
      </c>
      <c r="E208" s="3" t="str">
        <f>IF($D208="","",VLOOKUP($D208,기준표!$B$4:$C$12,2,TRUE()))</f>
        <v>9단계</v>
      </c>
      <c r="F208" s="1" t="s">
        <v>119</v>
      </c>
    </row>
    <row r="209" spans="1:6" ht="16.5" customHeight="1">
      <c r="A209" t="s">
        <v>133</v>
      </c>
      <c r="B209" s="4">
        <v>16</v>
      </c>
      <c r="C209" s="5" t="s">
        <v>56</v>
      </c>
      <c r="D209" s="6">
        <v>7716900</v>
      </c>
      <c r="E209" s="3" t="str">
        <f>IF($D209="","",VLOOKUP($D209,기준표!$B$4:$C$12,2,TRUE()))</f>
        <v>9단계</v>
      </c>
      <c r="F209" s="1" t="s">
        <v>119</v>
      </c>
    </row>
    <row r="210" spans="1:6" ht="16.5" customHeight="1">
      <c r="A210" t="s">
        <v>133</v>
      </c>
      <c r="B210" s="4">
        <v>17</v>
      </c>
      <c r="C210" s="5" t="s">
        <v>53</v>
      </c>
      <c r="D210" s="6">
        <v>7697397</v>
      </c>
      <c r="E210" s="3" t="str">
        <f>IF($D210="","",VLOOKUP($D210,기준표!$B$4:$C$12,2,TRUE()))</f>
        <v>9단계</v>
      </c>
      <c r="F210" s="1" t="s">
        <v>119</v>
      </c>
    </row>
    <row r="211" spans="1:6" ht="16.5" customHeight="1">
      <c r="A211" t="s">
        <v>133</v>
      </c>
      <c r="B211" s="4">
        <v>18</v>
      </c>
      <c r="C211" s="5" t="s">
        <v>82</v>
      </c>
      <c r="D211" s="6">
        <v>7694109</v>
      </c>
      <c r="E211" s="3" t="str">
        <f>IF($D211="","",VLOOKUP($D211,기준표!$B$4:$C$12,2,TRUE()))</f>
        <v>9단계</v>
      </c>
      <c r="F211" s="1" t="s">
        <v>119</v>
      </c>
    </row>
    <row r="212" spans="1:6" ht="16.5" customHeight="1">
      <c r="A212" t="s">
        <v>133</v>
      </c>
      <c r="B212" s="4">
        <v>19</v>
      </c>
      <c r="C212" s="5" t="s">
        <v>77</v>
      </c>
      <c r="D212" s="6">
        <v>7624294</v>
      </c>
      <c r="E212" s="3" t="str">
        <f>IF($D212="","",VLOOKUP($D212,기준표!$B$4:$C$12,2,TRUE()))</f>
        <v>9단계</v>
      </c>
      <c r="F212" s="1" t="s">
        <v>119</v>
      </c>
    </row>
    <row r="213" spans="1:6" ht="16.5" customHeight="1">
      <c r="A213" t="s">
        <v>133</v>
      </c>
      <c r="B213" s="4">
        <v>20</v>
      </c>
      <c r="C213" s="5" t="s">
        <v>122</v>
      </c>
      <c r="D213" s="6">
        <v>7548021</v>
      </c>
      <c r="E213" s="3" t="str">
        <f>IF($D213="","",VLOOKUP($D213,기준표!$B$4:$C$12,2,TRUE()))</f>
        <v>9단계</v>
      </c>
      <c r="F213" s="1" t="s">
        <v>119</v>
      </c>
    </row>
    <row r="214" spans="1:6" ht="16.5" customHeight="1">
      <c r="A214" t="s">
        <v>133</v>
      </c>
      <c r="B214" s="4">
        <v>21</v>
      </c>
      <c r="C214" s="5" t="s">
        <v>65</v>
      </c>
      <c r="D214" s="6">
        <v>7514973</v>
      </c>
      <c r="E214" s="3" t="str">
        <f>IF($D214="","",VLOOKUP($D214,기준표!$B$4:$C$12,2,TRUE()))</f>
        <v>9단계</v>
      </c>
      <c r="F214" s="1" t="s">
        <v>119</v>
      </c>
    </row>
    <row r="215" spans="1:6" ht="16.5" customHeight="1">
      <c r="A215" t="s">
        <v>133</v>
      </c>
      <c r="B215" s="4">
        <v>22</v>
      </c>
      <c r="C215" s="5" t="s">
        <v>124</v>
      </c>
      <c r="D215" s="6">
        <v>7392720</v>
      </c>
      <c r="E215" s="3" t="str">
        <f>IF($D215="","",VLOOKUP($D215,기준표!$B$4:$C$12,2,TRUE()))</f>
        <v>9단계</v>
      </c>
      <c r="F215" s="1" t="s">
        <v>119</v>
      </c>
    </row>
    <row r="216" spans="1:6" ht="16.5" customHeight="1">
      <c r="A216" t="s">
        <v>133</v>
      </c>
      <c r="B216" s="4">
        <v>23</v>
      </c>
      <c r="C216" s="5" t="s">
        <v>62</v>
      </c>
      <c r="D216" s="6">
        <v>7368735</v>
      </c>
      <c r="E216" s="3" t="str">
        <f>IF($D216="","",VLOOKUP($D216,기준표!$B$4:$C$12,2,TRUE()))</f>
        <v>9단계</v>
      </c>
      <c r="F216" s="1" t="s">
        <v>119</v>
      </c>
    </row>
    <row r="217" spans="1:6" ht="16.5" customHeight="1">
      <c r="A217" t="s">
        <v>133</v>
      </c>
      <c r="B217" s="4">
        <v>24</v>
      </c>
      <c r="C217" s="5" t="s">
        <v>61</v>
      </c>
      <c r="D217" s="6">
        <v>7299150</v>
      </c>
      <c r="E217" s="3" t="str">
        <f>IF($D217="","",VLOOKUP($D217,기준표!$B$4:$C$12,2,TRUE()))</f>
        <v>9단계</v>
      </c>
      <c r="F217" s="1" t="s">
        <v>119</v>
      </c>
    </row>
    <row r="218" spans="1:6" ht="16.5" customHeight="1">
      <c r="A218" t="s">
        <v>133</v>
      </c>
      <c r="B218" s="4">
        <v>25</v>
      </c>
      <c r="C218" s="5" t="s">
        <v>2</v>
      </c>
      <c r="D218" s="6">
        <v>7285842</v>
      </c>
      <c r="E218" s="3" t="str">
        <f>IF($D218="","",VLOOKUP($D218,기준표!$B$4:$C$12,2,TRUE()))</f>
        <v>9단계</v>
      </c>
      <c r="F218" s="1" t="s">
        <v>119</v>
      </c>
    </row>
    <row r="219" spans="1:6" ht="16.5" customHeight="1">
      <c r="A219" t="s">
        <v>133</v>
      </c>
      <c r="B219" s="4">
        <v>26</v>
      </c>
      <c r="C219" s="5" t="s">
        <v>68</v>
      </c>
      <c r="D219" s="6">
        <v>7252456</v>
      </c>
      <c r="E219" s="3" t="str">
        <f>IF($D219="","",VLOOKUP($D219,기준표!$B$4:$C$12,2,TRUE()))</f>
        <v>9단계</v>
      </c>
      <c r="F219" s="1" t="s">
        <v>119</v>
      </c>
    </row>
    <row r="220" spans="1:6" ht="16.5" customHeight="1">
      <c r="A220" t="s">
        <v>133</v>
      </c>
      <c r="B220" s="4">
        <v>27</v>
      </c>
      <c r="C220" s="5" t="s">
        <v>54</v>
      </c>
      <c r="D220" s="6">
        <v>7210500</v>
      </c>
      <c r="E220" s="3" t="str">
        <f>IF($D220="","",VLOOKUP($D220,기준표!$B$4:$C$12,2,TRUE()))</f>
        <v>9단계</v>
      </c>
      <c r="F220" s="1" t="s">
        <v>119</v>
      </c>
    </row>
    <row r="221" spans="1:6" ht="16.5" customHeight="1">
      <c r="A221" t="s">
        <v>133</v>
      </c>
      <c r="B221" s="4">
        <v>28</v>
      </c>
      <c r="C221" s="5" t="s">
        <v>123</v>
      </c>
      <c r="D221" s="6">
        <v>7095450</v>
      </c>
      <c r="E221" s="3" t="str">
        <f>IF($D221="","",VLOOKUP($D221,기준표!$B$4:$C$12,2,TRUE()))</f>
        <v>8단계</v>
      </c>
      <c r="F221" s="1" t="s">
        <v>119</v>
      </c>
    </row>
    <row r="222" spans="1:6" ht="16.5" customHeight="1">
      <c r="A222" t="s">
        <v>133</v>
      </c>
      <c r="B222" s="4">
        <v>29</v>
      </c>
      <c r="C222" s="5" t="s">
        <v>127</v>
      </c>
      <c r="D222" s="6">
        <v>5739081</v>
      </c>
      <c r="E222" s="3" t="str">
        <f>IF($D222="","",VLOOKUP($D222,기준표!$B$4:$C$12,2,TRUE()))</f>
        <v>8단계</v>
      </c>
      <c r="F222" s="1" t="s">
        <v>119</v>
      </c>
    </row>
    <row r="223" spans="1:6" ht="16.5" customHeight="1">
      <c r="A223" t="s">
        <v>133</v>
      </c>
      <c r="B223" s="4">
        <v>30</v>
      </c>
      <c r="C223" s="5" t="s">
        <v>125</v>
      </c>
      <c r="D223" s="6">
        <v>5561285</v>
      </c>
      <c r="E223" s="3" t="str">
        <f>IF($D223="","",VLOOKUP($D223,기준표!$B$4:$C$12,2,TRUE()))</f>
        <v>8단계</v>
      </c>
      <c r="F223" s="1" t="s">
        <v>119</v>
      </c>
    </row>
    <row r="224" spans="1:6" ht="16.5" customHeight="1">
      <c r="A224" t="s">
        <v>133</v>
      </c>
      <c r="B224" s="4">
        <v>31</v>
      </c>
      <c r="C224" s="5" t="s">
        <v>129</v>
      </c>
      <c r="D224" s="6">
        <v>5434650</v>
      </c>
      <c r="E224" s="3" t="str">
        <f>IF($D224="","",VLOOKUP($D224,기준표!$B$4:$C$12,2,TRUE()))</f>
        <v>8단계</v>
      </c>
      <c r="F224" s="1" t="s">
        <v>119</v>
      </c>
    </row>
    <row r="225" spans="1:6" ht="16.5" customHeight="1">
      <c r="A225" t="s">
        <v>133</v>
      </c>
      <c r="B225" s="4">
        <v>32</v>
      </c>
      <c r="C225" s="5" t="s">
        <v>132</v>
      </c>
      <c r="D225" s="6">
        <v>5171951</v>
      </c>
      <c r="E225" s="3" t="str">
        <f>IF($D225="","",VLOOKUP($D225,기준표!$B$4:$C$12,2,TRUE()))</f>
        <v>8단계</v>
      </c>
      <c r="F225" s="1" t="s">
        <v>119</v>
      </c>
    </row>
    <row r="226" spans="1:6" ht="16.5" customHeight="1">
      <c r="A226" t="s">
        <v>133</v>
      </c>
      <c r="B226" s="4">
        <v>33</v>
      </c>
      <c r="C226" s="5" t="s">
        <v>93</v>
      </c>
      <c r="D226" s="6">
        <v>5091005</v>
      </c>
      <c r="E226" s="3" t="str">
        <f>IF($D226="","",VLOOKUP($D226,기준표!$B$4:$C$12,2,TRUE()))</f>
        <v>8단계</v>
      </c>
      <c r="F226" s="1" t="s">
        <v>119</v>
      </c>
    </row>
    <row r="227" spans="1:6" ht="16.5" customHeight="1">
      <c r="A227" t="s">
        <v>133</v>
      </c>
      <c r="B227" s="4">
        <v>34</v>
      </c>
      <c r="C227" s="5" t="s">
        <v>131</v>
      </c>
      <c r="D227" s="6">
        <v>5016847</v>
      </c>
      <c r="E227" s="3" t="str">
        <f>IF($D227="","",VLOOKUP($D227,기준표!$B$4:$C$12,2,TRUE()))</f>
        <v>8단계</v>
      </c>
      <c r="F227" s="1" t="s">
        <v>119</v>
      </c>
    </row>
    <row r="228" spans="1:6" ht="16.5" customHeight="1">
      <c r="A228" t="s">
        <v>133</v>
      </c>
      <c r="B228" s="4">
        <v>35</v>
      </c>
      <c r="C228" s="5" t="s">
        <v>17</v>
      </c>
      <c r="D228" s="6">
        <v>4630800</v>
      </c>
      <c r="E228" s="3" t="str">
        <f>IF($D228="","",VLOOKUP($D228,기준표!$B$4:$C$12,2,TRUE()))</f>
        <v>8단계</v>
      </c>
      <c r="F228" s="1" t="s">
        <v>119</v>
      </c>
    </row>
    <row r="229" spans="1:6" ht="16.5" customHeight="1">
      <c r="A229" t="s">
        <v>133</v>
      </c>
      <c r="B229" s="4">
        <v>36</v>
      </c>
      <c r="C229" s="5" t="s">
        <v>130</v>
      </c>
      <c r="D229" s="6">
        <v>4537987</v>
      </c>
      <c r="E229" s="3" t="str">
        <f>IF($D229="","",VLOOKUP($D229,기준표!$B$4:$C$12,2,TRUE()))</f>
        <v>8단계</v>
      </c>
      <c r="F229" s="1" t="s">
        <v>119</v>
      </c>
    </row>
    <row r="230" spans="1:6" ht="16.5" customHeight="1">
      <c r="A230" t="s">
        <v>133</v>
      </c>
      <c r="B230" s="4">
        <v>37</v>
      </c>
      <c r="C230" s="5" t="s">
        <v>81</v>
      </c>
      <c r="D230" s="6">
        <v>4444305</v>
      </c>
      <c r="E230" s="3" t="str">
        <f>IF($D230="","",VLOOKUP($D230,기준표!$B$4:$C$12,2,TRUE()))</f>
        <v>8단계</v>
      </c>
      <c r="F230" s="1" t="s">
        <v>119</v>
      </c>
    </row>
    <row r="231" spans="1:6" ht="16.5" customHeight="1">
      <c r="A231" t="s">
        <v>133</v>
      </c>
      <c r="B231" s="4">
        <v>38</v>
      </c>
      <c r="C231" s="5" t="s">
        <v>100</v>
      </c>
      <c r="D231" s="6">
        <v>4393558</v>
      </c>
      <c r="E231" s="3" t="str">
        <f>IF($D231="","",VLOOKUP($D231,기준표!$B$4:$C$12,2,TRUE()))</f>
        <v>8단계</v>
      </c>
      <c r="F231" s="1" t="s">
        <v>119</v>
      </c>
    </row>
    <row r="232" spans="1:6" ht="16.5" customHeight="1">
      <c r="A232" t="s">
        <v>133</v>
      </c>
      <c r="B232" s="4">
        <v>39</v>
      </c>
      <c r="C232" s="5" t="s">
        <v>97</v>
      </c>
      <c r="D232" s="6">
        <v>4361685</v>
      </c>
      <c r="E232" s="3" t="str">
        <f>IF($D232="","",VLOOKUP($D232,기준표!$B$4:$C$12,2,TRUE()))</f>
        <v>8단계</v>
      </c>
      <c r="F232" s="1" t="s">
        <v>119</v>
      </c>
    </row>
    <row r="233" spans="1:6" ht="16.5" customHeight="1">
      <c r="A233" t="s">
        <v>133</v>
      </c>
      <c r="B233" s="4">
        <v>40</v>
      </c>
      <c r="C233" s="5" t="s">
        <v>120</v>
      </c>
      <c r="D233" s="6">
        <v>4314000</v>
      </c>
      <c r="E233" s="3" t="str">
        <f>IF($D233="","",VLOOKUP($D233,기준표!$B$4:$C$12,2,TRUE()))</f>
        <v>8단계</v>
      </c>
      <c r="F233" s="1" t="s">
        <v>119</v>
      </c>
    </row>
    <row r="234" spans="1:6" ht="16.5" customHeight="1">
      <c r="A234" t="s">
        <v>133</v>
      </c>
      <c r="B234" s="4">
        <v>41</v>
      </c>
      <c r="C234" s="5" t="s">
        <v>85</v>
      </c>
      <c r="D234" s="6">
        <v>4305372</v>
      </c>
      <c r="E234" s="3" t="str">
        <f>IF($D234="","",VLOOKUP($D234,기준표!$B$4:$C$12,2,TRUE()))</f>
        <v>8단계</v>
      </c>
      <c r="F234" s="1" t="s">
        <v>119</v>
      </c>
    </row>
    <row r="235" spans="1:6" ht="16.5" customHeight="1">
      <c r="A235" t="s">
        <v>133</v>
      </c>
      <c r="B235" s="4">
        <v>42</v>
      </c>
      <c r="C235" s="5" t="s">
        <v>121</v>
      </c>
      <c r="D235" s="6">
        <v>4250088</v>
      </c>
      <c r="E235" s="3" t="str">
        <f>IF($D235="","",VLOOKUP($D235,기준표!$B$4:$C$12,2,TRUE()))</f>
        <v>8단계</v>
      </c>
      <c r="F235" s="1" t="s">
        <v>119</v>
      </c>
    </row>
    <row r="236" spans="1:6" ht="16.5" customHeight="1">
      <c r="A236" t="s">
        <v>133</v>
      </c>
      <c r="B236" s="4">
        <v>43</v>
      </c>
      <c r="C236" s="5" t="s">
        <v>75</v>
      </c>
      <c r="D236" s="6">
        <v>4174414</v>
      </c>
      <c r="E236" s="3" t="str">
        <f>IF($D236="","",VLOOKUP($D236,기준표!$B$4:$C$12,2,TRUE()))</f>
        <v>8단계</v>
      </c>
      <c r="F236" s="1" t="s">
        <v>119</v>
      </c>
    </row>
    <row r="237" spans="1:6" ht="16.5" customHeight="1">
      <c r="A237" t="s">
        <v>133</v>
      </c>
      <c r="B237" s="4">
        <v>44</v>
      </c>
      <c r="C237" s="5" t="s">
        <v>80</v>
      </c>
      <c r="D237" s="6">
        <v>4151246</v>
      </c>
      <c r="E237" s="3" t="str">
        <f>IF($D237="","",VLOOKUP($D237,기준표!$B$4:$C$12,2,TRUE()))</f>
        <v>8단계</v>
      </c>
      <c r="F237" s="1" t="s">
        <v>119</v>
      </c>
    </row>
    <row r="238" spans="1:6" ht="16.5" customHeight="1">
      <c r="A238" t="s">
        <v>133</v>
      </c>
      <c r="B238" s="4">
        <v>45</v>
      </c>
      <c r="C238" s="5" t="s">
        <v>79</v>
      </c>
      <c r="D238" s="6">
        <v>4081096</v>
      </c>
      <c r="E238" s="3" t="str">
        <f>IF($D238="","",VLOOKUP($D238,기준표!$B$4:$C$12,2,TRUE()))</f>
        <v>8단계</v>
      </c>
      <c r="F238" s="1" t="s">
        <v>119</v>
      </c>
    </row>
    <row r="239" spans="1:6" ht="16.5" customHeight="1">
      <c r="A239" t="s">
        <v>133</v>
      </c>
      <c r="B239" s="4">
        <v>46</v>
      </c>
      <c r="C239" s="5" t="s">
        <v>104</v>
      </c>
      <c r="D239" s="6">
        <v>4033323</v>
      </c>
      <c r="E239" s="3" t="str">
        <f>IF($D239="","",VLOOKUP($D239,기준표!$B$4:$C$12,2,TRUE()))</f>
        <v>8단계</v>
      </c>
      <c r="F239" s="1" t="s">
        <v>119</v>
      </c>
    </row>
    <row r="240" spans="1:6" ht="16.5" customHeight="1">
      <c r="A240" t="s">
        <v>133</v>
      </c>
      <c r="B240" s="4">
        <v>47</v>
      </c>
      <c r="C240" s="5" t="s">
        <v>58</v>
      </c>
      <c r="D240" s="6">
        <v>4029200</v>
      </c>
      <c r="E240" s="3" t="str">
        <f>IF($D240="","",VLOOKUP($D240,기준표!$B$4:$C$12,2,TRUE()))</f>
        <v>8단계</v>
      </c>
      <c r="F240" s="1" t="s">
        <v>119</v>
      </c>
    </row>
    <row r="241" spans="1:6" ht="16.5" customHeight="1">
      <c r="A241" t="s">
        <v>133</v>
      </c>
      <c r="B241" s="4">
        <v>48</v>
      </c>
      <c r="C241" s="5" t="s">
        <v>78</v>
      </c>
      <c r="D241" s="6">
        <v>4000500</v>
      </c>
      <c r="E241" s="3" t="str">
        <f>IF($D241="","",VLOOKUP($D241,기준표!$B$4:$C$12,2,TRUE()))</f>
        <v>8단계</v>
      </c>
      <c r="F241" s="1" t="s">
        <v>119</v>
      </c>
    </row>
    <row r="242" spans="1:6" ht="16.5" customHeight="1">
      <c r="A242" t="s">
        <v>133</v>
      </c>
      <c r="B242" s="4">
        <v>49</v>
      </c>
      <c r="C242" s="5" t="s">
        <v>94</v>
      </c>
      <c r="D242" s="6">
        <v>3893926</v>
      </c>
      <c r="E242" s="3" t="str">
        <f>IF($D242="","",VLOOKUP($D242,기준표!$B$4:$C$12,2,TRUE()))</f>
        <v>8단계</v>
      </c>
      <c r="F242" s="1" t="s">
        <v>119</v>
      </c>
    </row>
    <row r="243" spans="1:6" ht="16.5" customHeight="1">
      <c r="A243" t="s">
        <v>133</v>
      </c>
      <c r="B243" s="4">
        <v>50</v>
      </c>
      <c r="C243" s="5" t="s">
        <v>105</v>
      </c>
      <c r="D243" s="6">
        <v>3892915</v>
      </c>
      <c r="E243" s="3" t="str">
        <f>IF($D243="","",VLOOKUP($D243,기준표!$B$4:$C$12,2,TRUE()))</f>
        <v>8단계</v>
      </c>
      <c r="F243" s="1" t="s">
        <v>119</v>
      </c>
    </row>
    <row r="244" spans="1:6" ht="16.5" customHeight="1">
      <c r="A244" t="s">
        <v>133</v>
      </c>
      <c r="B244" s="4">
        <v>51</v>
      </c>
      <c r="C244" s="5" t="s">
        <v>86</v>
      </c>
      <c r="D244" s="6">
        <v>3817624</v>
      </c>
      <c r="E244" s="3" t="str">
        <f>IF($D244="","",VLOOKUP($D244,기준표!$B$4:$C$12,2,TRUE()))</f>
        <v>8단계</v>
      </c>
      <c r="F244" s="1" t="s">
        <v>119</v>
      </c>
    </row>
    <row r="245" spans="1:6" ht="16.5" customHeight="1">
      <c r="A245" t="s">
        <v>133</v>
      </c>
      <c r="B245" s="4">
        <v>52</v>
      </c>
      <c r="C245" s="5" t="s">
        <v>92</v>
      </c>
      <c r="D245" s="6">
        <v>3776295</v>
      </c>
      <c r="E245" s="3" t="str">
        <f>IF($D245="","",VLOOKUP($D245,기준표!$B$4:$C$12,2,TRUE()))</f>
        <v>8단계</v>
      </c>
      <c r="F245" s="1" t="s">
        <v>119</v>
      </c>
    </row>
    <row r="246" spans="1:6" ht="16.5" customHeight="1">
      <c r="A246" t="s">
        <v>133</v>
      </c>
      <c r="B246" s="4">
        <v>53</v>
      </c>
      <c r="C246" s="5" t="s">
        <v>10</v>
      </c>
      <c r="D246" s="6">
        <v>3636629</v>
      </c>
      <c r="E246" s="3" t="str">
        <f>IF($D246="","",VLOOKUP($D246,기준표!$B$4:$C$12,2,TRUE()))</f>
        <v>8단계</v>
      </c>
      <c r="F246" s="1" t="s">
        <v>119</v>
      </c>
    </row>
    <row r="247" spans="1:6" ht="16.5" customHeight="1">
      <c r="A247" t="s">
        <v>133</v>
      </c>
      <c r="B247" s="4">
        <v>54</v>
      </c>
      <c r="C247" s="5" t="s">
        <v>103</v>
      </c>
      <c r="D247" s="6">
        <v>3620200</v>
      </c>
      <c r="E247" s="3" t="str">
        <f>IF($D247="","",VLOOKUP($D247,기준표!$B$4:$C$12,2,TRUE()))</f>
        <v>8단계</v>
      </c>
      <c r="F247" s="1" t="s">
        <v>119</v>
      </c>
    </row>
    <row r="248" spans="1:6" ht="16.5" customHeight="1">
      <c r="A248" t="s">
        <v>133</v>
      </c>
      <c r="B248" s="4">
        <v>55</v>
      </c>
      <c r="C248" s="5" t="s">
        <v>90</v>
      </c>
      <c r="D248" s="6">
        <v>3414335</v>
      </c>
      <c r="E248" s="3" t="str">
        <f>IF($D248="","",VLOOKUP($D248,기준표!$B$4:$C$12,2,TRUE()))</f>
        <v>8단계</v>
      </c>
      <c r="F248" s="1" t="s">
        <v>119</v>
      </c>
    </row>
    <row r="249" spans="1:6" ht="16.5" customHeight="1">
      <c r="A249" t="s">
        <v>133</v>
      </c>
      <c r="B249" s="4">
        <v>56</v>
      </c>
      <c r="C249" s="5" t="s">
        <v>95</v>
      </c>
      <c r="D249" s="6">
        <v>3164754</v>
      </c>
      <c r="E249" s="3" t="str">
        <f>IF($D249="","",VLOOKUP($D249,기준표!$B$4:$C$12,2,TRUE()))</f>
        <v>8단계</v>
      </c>
      <c r="F249" s="1" t="s">
        <v>119</v>
      </c>
    </row>
    <row r="250" spans="1:6" ht="16.5" customHeight="1">
      <c r="A250" t="s">
        <v>133</v>
      </c>
      <c r="B250" s="4">
        <v>57</v>
      </c>
      <c r="C250" s="5" t="s">
        <v>88</v>
      </c>
      <c r="D250" s="6">
        <v>3063699</v>
      </c>
      <c r="E250" s="3" t="str">
        <f>IF($D250="","",VLOOKUP($D250,기준표!$B$4:$C$12,2,TRUE()))</f>
        <v>8단계</v>
      </c>
      <c r="F250" s="1" t="s">
        <v>119</v>
      </c>
    </row>
    <row r="251" spans="1:6" ht="16.5" customHeight="1">
      <c r="A251" t="s">
        <v>133</v>
      </c>
      <c r="B251" s="4">
        <v>58</v>
      </c>
      <c r="C251" s="5" t="s">
        <v>96</v>
      </c>
      <c r="D251" s="6">
        <v>2777032</v>
      </c>
      <c r="E251" s="3" t="str">
        <f>IF($D251="","",VLOOKUP($D251,기준표!$B$4:$C$12,2,TRUE()))</f>
        <v>8단계</v>
      </c>
      <c r="F251" s="1" t="s">
        <v>119</v>
      </c>
    </row>
    <row r="252" spans="1:6" ht="16.5" customHeight="1">
      <c r="A252" t="s">
        <v>133</v>
      </c>
      <c r="B252" s="4">
        <v>59</v>
      </c>
      <c r="C252" s="5" t="s">
        <v>101</v>
      </c>
      <c r="D252" s="6">
        <v>2391014</v>
      </c>
      <c r="E252" s="3" t="str">
        <f>IF($D252="","",VLOOKUP($D252,기준표!$B$4:$C$12,2,TRUE()))</f>
        <v>7단계</v>
      </c>
      <c r="F252" s="1" t="s">
        <v>119</v>
      </c>
    </row>
    <row r="253" spans="1:6" ht="16.5" customHeight="1">
      <c r="A253" t="s">
        <v>133</v>
      </c>
      <c r="B253" s="4">
        <v>60</v>
      </c>
      <c r="C253" s="5" t="s">
        <v>99</v>
      </c>
      <c r="D253" s="6">
        <v>2371425</v>
      </c>
      <c r="E253" s="3" t="str">
        <f>IF($D253="","",VLOOKUP($D253,기준표!$B$4:$C$12,2,TRUE()))</f>
        <v>7단계</v>
      </c>
      <c r="F253" s="1" t="s">
        <v>119</v>
      </c>
    </row>
    <row r="254" spans="1:6" ht="16.5" customHeight="1">
      <c r="A254" t="s">
        <v>133</v>
      </c>
      <c r="B254" s="4">
        <v>61</v>
      </c>
      <c r="C254" s="5" t="s">
        <v>83</v>
      </c>
      <c r="D254" s="6">
        <v>2022500</v>
      </c>
      <c r="E254" s="3" t="str">
        <f>IF($D254="","",VLOOKUP($D254,기준표!$B$4:$C$12,2,TRUE()))</f>
        <v>6단계</v>
      </c>
      <c r="F254" s="1" t="s">
        <v>119</v>
      </c>
    </row>
    <row r="255" spans="1:6" ht="16.5" customHeight="1">
      <c r="A255" t="s">
        <v>133</v>
      </c>
      <c r="B255" s="4">
        <v>62</v>
      </c>
      <c r="C255" s="5" t="s">
        <v>102</v>
      </c>
      <c r="D255" s="6">
        <v>1764375</v>
      </c>
      <c r="E255" s="3" t="str">
        <f>IF($D255="","",VLOOKUP($D255,기준표!$B$4:$C$12,2,TRUE()))</f>
        <v>6단계</v>
      </c>
      <c r="F255" s="1" t="s">
        <v>119</v>
      </c>
    </row>
    <row r="256" spans="1:6" ht="16.5" customHeight="1">
      <c r="A256" t="s">
        <v>133</v>
      </c>
      <c r="B256" s="4">
        <v>63</v>
      </c>
      <c r="C256" s="5" t="s">
        <v>89</v>
      </c>
      <c r="D256" s="6">
        <v>1739773</v>
      </c>
      <c r="E256" s="3" t="str">
        <f>IF($D256="","",VLOOKUP($D256,기준표!$B$4:$C$12,2,TRUE()))</f>
        <v>6단계</v>
      </c>
      <c r="F256" s="1" t="s">
        <v>119</v>
      </c>
    </row>
    <row r="257" spans="1:6" ht="16.5" customHeight="1">
      <c r="A257" t="s">
        <v>133</v>
      </c>
      <c r="B257" s="4">
        <v>64</v>
      </c>
      <c r="C257" s="5" t="s">
        <v>109</v>
      </c>
      <c r="D257" s="6">
        <v>1685105</v>
      </c>
      <c r="E257" s="3" t="str">
        <f>IF($D257="","",VLOOKUP($D257,기준표!$B$4:$C$12,2,TRUE()))</f>
        <v>6단계</v>
      </c>
      <c r="F257" s="1" t="s">
        <v>119</v>
      </c>
    </row>
    <row r="258" spans="1:6" ht="16.5" customHeight="1">
      <c r="A258" t="s">
        <v>133</v>
      </c>
      <c r="B258" s="4">
        <v>65</v>
      </c>
      <c r="C258" s="5">
        <v>1090</v>
      </c>
      <c r="D258" s="6">
        <v>1619227</v>
      </c>
      <c r="E258" s="3" t="str">
        <f>IF($D258="","",VLOOKUP($D258,기준표!$B$4:$C$12,2,TRUE()))</f>
        <v>6단계</v>
      </c>
      <c r="F258" s="1" t="s">
        <v>119</v>
      </c>
    </row>
    <row r="259" spans="1:6" ht="16.5" customHeight="1">
      <c r="A259" t="s">
        <v>133</v>
      </c>
      <c r="B259" s="4">
        <v>66</v>
      </c>
      <c r="C259" s="5" t="s">
        <v>106</v>
      </c>
      <c r="D259" s="6">
        <v>1116967</v>
      </c>
      <c r="E259" s="3" t="str">
        <f>IF($D259="","",VLOOKUP($D259,기준표!$B$4:$C$12,2,TRUE()))</f>
        <v>6단계</v>
      </c>
      <c r="F259" s="1" t="s">
        <v>119</v>
      </c>
    </row>
    <row r="260" spans="1:6" ht="16.5" customHeight="1">
      <c r="A260" t="s">
        <v>133</v>
      </c>
      <c r="B260" s="4">
        <v>67</v>
      </c>
      <c r="C260" s="5" t="s">
        <v>111</v>
      </c>
      <c r="D260" s="6">
        <v>481250</v>
      </c>
      <c r="E260" s="3" t="str">
        <f>IF($D260="","",VLOOKUP($D260,기준표!$B$4:$C$12,2,TRUE()))</f>
        <v>3단계</v>
      </c>
      <c r="F260" s="1" t="s">
        <v>119</v>
      </c>
    </row>
    <row r="261" spans="1:6" ht="16.5" customHeight="1">
      <c r="A261" t="s">
        <v>133</v>
      </c>
      <c r="B261" s="4">
        <v>68</v>
      </c>
      <c r="C261" s="5" t="s">
        <v>113</v>
      </c>
      <c r="D261" s="6">
        <v>368750</v>
      </c>
      <c r="E261" s="3" t="str">
        <f>IF($D261="","",VLOOKUP($D261,기준표!$B$4:$C$12,2,TRUE()))</f>
        <v>3단계</v>
      </c>
      <c r="F261" s="1" t="s">
        <v>119</v>
      </c>
    </row>
    <row r="262" spans="1:6" ht="16.5" customHeight="1">
      <c r="A262" t="s">
        <v>134</v>
      </c>
      <c r="B262" s="4">
        <v>1</v>
      </c>
      <c r="C262" s="5" t="s">
        <v>118</v>
      </c>
      <c r="D262" s="6">
        <v>32997950</v>
      </c>
      <c r="E262" s="3" t="str">
        <f>IF($D262="","",VLOOKUP($D262,기준표!$B$4:$C$12,2,TRUE()))</f>
        <v>9단계</v>
      </c>
      <c r="F262" s="1" t="s">
        <v>119</v>
      </c>
    </row>
    <row r="263" spans="1:6" ht="16.5" customHeight="1">
      <c r="A263" t="s">
        <v>134</v>
      </c>
      <c r="B263" s="4">
        <v>2</v>
      </c>
      <c r="C263" s="5" t="s">
        <v>73</v>
      </c>
      <c r="D263" s="6">
        <v>15520250</v>
      </c>
      <c r="E263" s="3" t="str">
        <f>IF($D263="","",VLOOKUP($D263,기준표!$B$4:$C$12,2,TRUE()))</f>
        <v>9단계</v>
      </c>
      <c r="F263" s="1" t="s">
        <v>119</v>
      </c>
    </row>
    <row r="264" spans="1:6" ht="16.5" customHeight="1">
      <c r="A264" t="s">
        <v>134</v>
      </c>
      <c r="B264" s="4">
        <v>3</v>
      </c>
      <c r="C264" s="5" t="s">
        <v>51</v>
      </c>
      <c r="D264" s="6">
        <v>14318400</v>
      </c>
      <c r="E264" s="3" t="str">
        <f>IF($D264="","",VLOOKUP($D264,기준표!$B$4:$C$12,2,TRUE()))</f>
        <v>9단계</v>
      </c>
      <c r="F264" s="1" t="s">
        <v>119</v>
      </c>
    </row>
    <row r="265" spans="1:6" ht="16.5" customHeight="1">
      <c r="A265" t="s">
        <v>134</v>
      </c>
      <c r="B265" s="4">
        <v>4</v>
      </c>
      <c r="C265" s="7" t="s">
        <v>69</v>
      </c>
      <c r="D265" s="6">
        <v>12803400</v>
      </c>
      <c r="E265" s="3" t="str">
        <f>IF($D265="","",VLOOKUP($D265,기준표!$B$4:$C$12,2,TRUE()))</f>
        <v>9단계</v>
      </c>
      <c r="F265" s="1" t="s">
        <v>119</v>
      </c>
    </row>
    <row r="266" spans="1:6" ht="16.5" customHeight="1">
      <c r="A266" t="s">
        <v>134</v>
      </c>
      <c r="B266" s="4">
        <v>5</v>
      </c>
      <c r="C266" s="5" t="s">
        <v>74</v>
      </c>
      <c r="D266" s="6">
        <v>11730150</v>
      </c>
      <c r="E266" s="3" t="str">
        <f>IF($D266="","",VLOOKUP($D266,기준표!$B$4:$C$12,2,TRUE()))</f>
        <v>9단계</v>
      </c>
      <c r="F266" s="1" t="s">
        <v>119</v>
      </c>
    </row>
    <row r="267" spans="1:6" ht="16.5" customHeight="1">
      <c r="A267" t="s">
        <v>134</v>
      </c>
      <c r="B267" s="4">
        <v>6</v>
      </c>
      <c r="C267" s="7" t="s">
        <v>57</v>
      </c>
      <c r="D267" s="6">
        <v>10776300</v>
      </c>
      <c r="E267" s="3" t="str">
        <f>IF($D267="","",VLOOKUP($D267,기준표!$B$4:$C$12,2,TRUE()))</f>
        <v>9단계</v>
      </c>
      <c r="F267" s="1" t="s">
        <v>119</v>
      </c>
    </row>
    <row r="268" spans="1:6" ht="16.5" customHeight="1">
      <c r="A268" t="s">
        <v>134</v>
      </c>
      <c r="B268" s="4">
        <v>7</v>
      </c>
      <c r="C268" s="5" t="s">
        <v>82</v>
      </c>
      <c r="D268" s="6">
        <v>10310343</v>
      </c>
      <c r="E268" s="3" t="str">
        <f>IF($D268="","",VLOOKUP($D268,기준표!$B$4:$C$12,2,TRUE()))</f>
        <v>9단계</v>
      </c>
      <c r="F268" s="1" t="s">
        <v>119</v>
      </c>
    </row>
    <row r="269" spans="1:6" ht="16.5" customHeight="1">
      <c r="A269" t="s">
        <v>134</v>
      </c>
      <c r="B269" s="4">
        <v>8</v>
      </c>
      <c r="C269" s="5" t="s">
        <v>67</v>
      </c>
      <c r="D269" s="6">
        <v>9826000</v>
      </c>
      <c r="E269" s="3" t="str">
        <f>IF($D269="","",VLOOKUP($D269,기준표!$B$4:$C$12,2,TRUE()))</f>
        <v>9단계</v>
      </c>
      <c r="F269" s="1" t="s">
        <v>119</v>
      </c>
    </row>
    <row r="270" spans="1:6" ht="16.5" customHeight="1">
      <c r="A270" t="s">
        <v>134</v>
      </c>
      <c r="B270" s="4">
        <v>9</v>
      </c>
      <c r="C270" s="5" t="s">
        <v>77</v>
      </c>
      <c r="D270" s="6">
        <v>9783249</v>
      </c>
      <c r="E270" s="3" t="str">
        <f>IF($D270="","",VLOOKUP($D270,기준표!$B$4:$C$12,2,TRUE()))</f>
        <v>9단계</v>
      </c>
      <c r="F270" s="1" t="s">
        <v>119</v>
      </c>
    </row>
    <row r="271" spans="1:6" ht="16.5" customHeight="1">
      <c r="A271" t="s">
        <v>134</v>
      </c>
      <c r="B271" s="4">
        <v>10</v>
      </c>
      <c r="C271" s="5" t="s">
        <v>126</v>
      </c>
      <c r="D271" s="6">
        <v>9196550</v>
      </c>
      <c r="E271" s="3" t="str">
        <f>IF($D271="","",VLOOKUP($D271,기준표!$B$4:$C$12,2,TRUE()))</f>
        <v>9단계</v>
      </c>
      <c r="F271" s="1" t="s">
        <v>119</v>
      </c>
    </row>
    <row r="272" spans="1:6" ht="16.5" customHeight="1">
      <c r="A272" t="s">
        <v>134</v>
      </c>
      <c r="B272" s="4">
        <v>11</v>
      </c>
      <c r="C272" s="5" t="s">
        <v>56</v>
      </c>
      <c r="D272" s="6">
        <v>9100150</v>
      </c>
      <c r="E272" s="3" t="str">
        <f>IF($D272="","",VLOOKUP($D272,기준표!$B$4:$C$12,2,TRUE()))</f>
        <v>9단계</v>
      </c>
      <c r="F272" s="1" t="s">
        <v>119</v>
      </c>
    </row>
    <row r="273" spans="1:6" ht="16.5" customHeight="1">
      <c r="A273" t="s">
        <v>134</v>
      </c>
      <c r="B273" s="4">
        <v>12</v>
      </c>
      <c r="C273" s="5" t="s">
        <v>64</v>
      </c>
      <c r="D273" s="6">
        <v>8990350</v>
      </c>
      <c r="E273" s="3" t="str">
        <f>IF($D273="","",VLOOKUP($D273,기준표!$B$4:$C$12,2,TRUE()))</f>
        <v>9단계</v>
      </c>
      <c r="F273" s="1" t="s">
        <v>119</v>
      </c>
    </row>
    <row r="274" spans="1:6" ht="16.5" customHeight="1">
      <c r="A274" t="s">
        <v>134</v>
      </c>
      <c r="B274" s="4">
        <v>13</v>
      </c>
      <c r="C274" s="5" t="s">
        <v>130</v>
      </c>
      <c r="D274" s="6">
        <v>8798439</v>
      </c>
      <c r="E274" s="3" t="str">
        <f>IF($D274="","",VLOOKUP($D274,기준표!$B$4:$C$12,2,TRUE()))</f>
        <v>9단계</v>
      </c>
      <c r="F274" s="1" t="s">
        <v>119</v>
      </c>
    </row>
    <row r="275" spans="1:6" ht="16.5" customHeight="1">
      <c r="A275" t="s">
        <v>134</v>
      </c>
      <c r="B275" s="4">
        <v>14</v>
      </c>
      <c r="C275" s="5" t="s">
        <v>71</v>
      </c>
      <c r="D275" s="6">
        <v>8797500</v>
      </c>
      <c r="E275" s="3" t="str">
        <f>IF($D275="","",VLOOKUP($D275,기준표!$B$4:$C$12,2,TRUE()))</f>
        <v>9단계</v>
      </c>
      <c r="F275" s="1" t="s">
        <v>119</v>
      </c>
    </row>
    <row r="276" spans="1:6" ht="16.5" customHeight="1">
      <c r="A276" t="s">
        <v>134</v>
      </c>
      <c r="B276" s="4">
        <v>15</v>
      </c>
      <c r="C276" s="5" t="s">
        <v>122</v>
      </c>
      <c r="D276" s="6">
        <v>8702111</v>
      </c>
      <c r="E276" s="3" t="str">
        <f>IF($D276="","",VLOOKUP($D276,기준표!$B$4:$C$12,2,TRUE()))</f>
        <v>9단계</v>
      </c>
      <c r="F276" s="1" t="s">
        <v>119</v>
      </c>
    </row>
    <row r="277" spans="1:6" ht="16.5" customHeight="1">
      <c r="A277" t="s">
        <v>134</v>
      </c>
      <c r="B277" s="4">
        <v>16</v>
      </c>
      <c r="C277" s="5" t="s">
        <v>20</v>
      </c>
      <c r="D277" s="6">
        <v>8594600</v>
      </c>
      <c r="E277" s="3" t="str">
        <f>IF($D277="","",VLOOKUP($D277,기준표!$B$4:$C$12,2,TRUE()))</f>
        <v>9단계</v>
      </c>
      <c r="F277" s="1" t="s">
        <v>119</v>
      </c>
    </row>
    <row r="278" spans="1:6" ht="16.5" customHeight="1">
      <c r="A278" t="s">
        <v>134</v>
      </c>
      <c r="B278" s="4">
        <v>17</v>
      </c>
      <c r="C278" s="5" t="s">
        <v>63</v>
      </c>
      <c r="D278" s="6">
        <v>8587682</v>
      </c>
      <c r="E278" s="3" t="str">
        <f>IF($D278="","",VLOOKUP($D278,기준표!$B$4:$C$12,2,TRUE()))</f>
        <v>9단계</v>
      </c>
      <c r="F278" s="1" t="s">
        <v>119</v>
      </c>
    </row>
    <row r="279" spans="1:6" ht="16.5" customHeight="1">
      <c r="A279" t="s">
        <v>134</v>
      </c>
      <c r="B279" s="4">
        <v>18</v>
      </c>
      <c r="C279" s="5" t="s">
        <v>79</v>
      </c>
      <c r="D279" s="6">
        <v>8525490</v>
      </c>
      <c r="E279" s="3" t="str">
        <f>IF($D279="","",VLOOKUP($D279,기준표!$B$4:$C$12,2,TRUE()))</f>
        <v>9단계</v>
      </c>
      <c r="F279" s="1" t="s">
        <v>119</v>
      </c>
    </row>
    <row r="280" spans="1:6" ht="16.5" customHeight="1">
      <c r="A280" t="s">
        <v>134</v>
      </c>
      <c r="B280" s="4">
        <v>19</v>
      </c>
      <c r="C280" s="5" t="s">
        <v>124</v>
      </c>
      <c r="D280" s="6">
        <v>8248525</v>
      </c>
      <c r="E280" s="3" t="str">
        <f>IF($D280="","",VLOOKUP($D280,기준표!$B$4:$C$12,2,TRUE()))</f>
        <v>9단계</v>
      </c>
      <c r="F280" s="1" t="s">
        <v>119</v>
      </c>
    </row>
    <row r="281" spans="1:6" ht="16.5" customHeight="1">
      <c r="A281" t="s">
        <v>134</v>
      </c>
      <c r="B281" s="4">
        <v>20</v>
      </c>
      <c r="C281" s="5" t="s">
        <v>123</v>
      </c>
      <c r="D281" s="6">
        <v>8177600</v>
      </c>
      <c r="E281" s="3" t="str">
        <f>IF($D281="","",VLOOKUP($D281,기준표!$B$4:$C$12,2,TRUE()))</f>
        <v>9단계</v>
      </c>
      <c r="F281" s="1" t="s">
        <v>119</v>
      </c>
    </row>
    <row r="282" spans="1:6" ht="16.5" customHeight="1">
      <c r="A282" t="s">
        <v>134</v>
      </c>
      <c r="B282" s="4">
        <v>21</v>
      </c>
      <c r="C282" s="5" t="s">
        <v>61</v>
      </c>
      <c r="D282" s="6">
        <v>8138300</v>
      </c>
      <c r="E282" s="3" t="str">
        <f>IF($D282="","",VLOOKUP($D282,기준표!$B$4:$C$12,2,TRUE()))</f>
        <v>9단계</v>
      </c>
      <c r="F282" s="1" t="s">
        <v>119</v>
      </c>
    </row>
    <row r="283" spans="1:6" ht="16.5" customHeight="1">
      <c r="A283" t="s">
        <v>134</v>
      </c>
      <c r="B283" s="4">
        <v>22</v>
      </c>
      <c r="C283" s="5" t="s">
        <v>128</v>
      </c>
      <c r="D283" s="6">
        <v>8051401</v>
      </c>
      <c r="E283" s="3" t="str">
        <f>IF($D283="","",VLOOKUP($D283,기준표!$B$4:$C$12,2,TRUE()))</f>
        <v>9단계</v>
      </c>
      <c r="F283" s="1" t="s">
        <v>119</v>
      </c>
    </row>
    <row r="284" spans="1:6" ht="16.5" customHeight="1">
      <c r="A284" t="s">
        <v>134</v>
      </c>
      <c r="B284" s="4">
        <v>23</v>
      </c>
      <c r="C284" s="5" t="s">
        <v>84</v>
      </c>
      <c r="D284" s="6">
        <v>7776950</v>
      </c>
      <c r="E284" s="3" t="str">
        <f>IF($D284="","",VLOOKUP($D284,기준표!$B$4:$C$12,2,TRUE()))</f>
        <v>9단계</v>
      </c>
      <c r="F284" s="1" t="s">
        <v>119</v>
      </c>
    </row>
    <row r="285" spans="1:6" ht="16.5" customHeight="1">
      <c r="A285" t="s">
        <v>134</v>
      </c>
      <c r="B285" s="4">
        <v>24</v>
      </c>
      <c r="C285" s="5" t="s">
        <v>10</v>
      </c>
      <c r="D285" s="6">
        <v>7656300</v>
      </c>
      <c r="E285" s="3" t="str">
        <f>IF($D285="","",VLOOKUP($D285,기준표!$B$4:$C$12,2,TRUE()))</f>
        <v>9단계</v>
      </c>
      <c r="F285" s="1" t="s">
        <v>119</v>
      </c>
    </row>
    <row r="286" spans="1:6" ht="16.5" customHeight="1">
      <c r="A286" t="s">
        <v>134</v>
      </c>
      <c r="B286" s="4">
        <v>25</v>
      </c>
      <c r="C286" s="5" t="s">
        <v>62</v>
      </c>
      <c r="D286" s="6">
        <v>7654875</v>
      </c>
      <c r="E286" s="3" t="str">
        <f>IF($D286="","",VLOOKUP($D286,기준표!$B$4:$C$12,2,TRUE()))</f>
        <v>9단계</v>
      </c>
      <c r="F286" s="1" t="s">
        <v>119</v>
      </c>
    </row>
    <row r="287" spans="1:6" ht="16.5" customHeight="1">
      <c r="A287" t="s">
        <v>134</v>
      </c>
      <c r="B287" s="4">
        <v>26</v>
      </c>
      <c r="C287" s="5" t="s">
        <v>65</v>
      </c>
      <c r="D287" s="6">
        <v>7645595</v>
      </c>
      <c r="E287" s="3" t="str">
        <f>IF($D287="","",VLOOKUP($D287,기준표!$B$4:$C$12,2,TRUE()))</f>
        <v>9단계</v>
      </c>
      <c r="F287" s="1" t="s">
        <v>119</v>
      </c>
    </row>
    <row r="288" spans="1:6" ht="16.5" customHeight="1">
      <c r="A288" t="s">
        <v>134</v>
      </c>
      <c r="B288" s="4">
        <v>27</v>
      </c>
      <c r="C288" s="5" t="s">
        <v>54</v>
      </c>
      <c r="D288" s="6">
        <v>7625700</v>
      </c>
      <c r="E288" s="3" t="str">
        <f>IF($D288="","",VLOOKUP($D288,기준표!$B$4:$C$12,2,TRUE()))</f>
        <v>9단계</v>
      </c>
      <c r="F288" s="1" t="s">
        <v>119</v>
      </c>
    </row>
    <row r="289" spans="1:6" ht="16.5" customHeight="1">
      <c r="A289" t="s">
        <v>134</v>
      </c>
      <c r="B289" s="4">
        <v>28</v>
      </c>
      <c r="C289" s="5" t="s">
        <v>60</v>
      </c>
      <c r="D289" s="6">
        <v>7572000</v>
      </c>
      <c r="E289" s="3" t="str">
        <f>IF($D289="","",VLOOKUP($D289,기준표!$B$4:$C$12,2,TRUE()))</f>
        <v>9단계</v>
      </c>
      <c r="F289" s="1" t="s">
        <v>119</v>
      </c>
    </row>
    <row r="290" spans="1:6" ht="16.5" customHeight="1">
      <c r="A290" t="s">
        <v>134</v>
      </c>
      <c r="B290" s="4">
        <v>29</v>
      </c>
      <c r="C290" s="5" t="s">
        <v>8</v>
      </c>
      <c r="D290" s="6">
        <v>7511676</v>
      </c>
      <c r="E290" s="3" t="str">
        <f>IF($D290="","",VLOOKUP($D290,기준표!$B$4:$C$12,2,TRUE()))</f>
        <v>9단계</v>
      </c>
      <c r="F290" s="1" t="s">
        <v>119</v>
      </c>
    </row>
    <row r="291" spans="1:6" ht="16.5" customHeight="1">
      <c r="A291" t="s">
        <v>134</v>
      </c>
      <c r="B291" s="4">
        <v>30</v>
      </c>
      <c r="C291" s="5" t="s">
        <v>53</v>
      </c>
      <c r="D291" s="6">
        <v>7445477</v>
      </c>
      <c r="E291" s="3" t="str">
        <f>IF($D291="","",VLOOKUP($D291,기준표!$B$4:$C$12,2,TRUE()))</f>
        <v>9단계</v>
      </c>
      <c r="F291" s="1" t="s">
        <v>119</v>
      </c>
    </row>
    <row r="292" spans="1:6" ht="16.5" customHeight="1">
      <c r="A292" t="s">
        <v>134</v>
      </c>
      <c r="B292" s="4">
        <v>31</v>
      </c>
      <c r="C292" s="5" t="s">
        <v>129</v>
      </c>
      <c r="D292" s="6">
        <v>7435700</v>
      </c>
      <c r="E292" s="3" t="str">
        <f>IF($D292="","",VLOOKUP($D292,기준표!$B$4:$C$12,2,TRUE()))</f>
        <v>9단계</v>
      </c>
      <c r="F292" s="1" t="s">
        <v>119</v>
      </c>
    </row>
    <row r="293" spans="1:6" ht="16.5" customHeight="1">
      <c r="A293" t="s">
        <v>134</v>
      </c>
      <c r="B293" s="4">
        <v>32</v>
      </c>
      <c r="C293" s="5" t="s">
        <v>120</v>
      </c>
      <c r="D293" s="6">
        <v>7331000</v>
      </c>
      <c r="E293" s="3" t="str">
        <f>IF($D293="","",VLOOKUP($D293,기준표!$B$4:$C$12,2,TRUE()))</f>
        <v>9단계</v>
      </c>
      <c r="F293" s="1" t="s">
        <v>119</v>
      </c>
    </row>
    <row r="294" spans="1:6" ht="16.5" customHeight="1">
      <c r="A294" t="s">
        <v>134</v>
      </c>
      <c r="B294" s="4">
        <v>33</v>
      </c>
      <c r="C294" s="5" t="s">
        <v>90</v>
      </c>
      <c r="D294" s="6">
        <v>7321924</v>
      </c>
      <c r="E294" s="3" t="str">
        <f>IF($D294="","",VLOOKUP($D294,기준표!$B$4:$C$12,2,TRUE()))</f>
        <v>9단계</v>
      </c>
      <c r="F294" s="1" t="s">
        <v>119</v>
      </c>
    </row>
    <row r="295" spans="1:6" ht="16.5" customHeight="1">
      <c r="A295" t="s">
        <v>134</v>
      </c>
      <c r="B295" s="4">
        <v>34</v>
      </c>
      <c r="C295" s="5" t="s">
        <v>75</v>
      </c>
      <c r="D295" s="6">
        <v>7318696</v>
      </c>
      <c r="E295" s="3" t="str">
        <f>IF($D295="","",VLOOKUP($D295,기준표!$B$4:$C$12,2,TRUE()))</f>
        <v>9단계</v>
      </c>
      <c r="F295" s="1" t="s">
        <v>119</v>
      </c>
    </row>
    <row r="296" spans="1:6" ht="16.5" customHeight="1">
      <c r="A296" t="s">
        <v>134</v>
      </c>
      <c r="B296" s="4">
        <v>35</v>
      </c>
      <c r="C296" s="5" t="s">
        <v>17</v>
      </c>
      <c r="D296" s="6">
        <v>7241850</v>
      </c>
      <c r="E296" s="3" t="str">
        <f>IF($D296="","",VLOOKUP($D296,기준표!$B$4:$C$12,2,TRUE()))</f>
        <v>9단계</v>
      </c>
      <c r="F296" s="1" t="s">
        <v>119</v>
      </c>
    </row>
    <row r="297" spans="1:6" ht="16.5" customHeight="1">
      <c r="A297" t="s">
        <v>134</v>
      </c>
      <c r="B297" s="4">
        <v>36</v>
      </c>
      <c r="C297" s="5" t="s">
        <v>131</v>
      </c>
      <c r="D297" s="6">
        <v>7216687</v>
      </c>
      <c r="E297" s="3" t="str">
        <f>IF($D297="","",VLOOKUP($D297,기준표!$B$4:$C$12,2,TRUE()))</f>
        <v>9단계</v>
      </c>
      <c r="F297" s="1" t="s">
        <v>119</v>
      </c>
    </row>
    <row r="298" spans="1:6" ht="16.5" customHeight="1">
      <c r="A298" t="s">
        <v>134</v>
      </c>
      <c r="B298" s="4">
        <v>37</v>
      </c>
      <c r="C298" s="5" t="s">
        <v>85</v>
      </c>
      <c r="D298" s="6">
        <v>6356548</v>
      </c>
      <c r="E298" s="3" t="str">
        <f>IF($D298="","",VLOOKUP($D298,기준표!$B$4:$C$12,2,TRUE()))</f>
        <v>8단계</v>
      </c>
      <c r="F298" s="1" t="s">
        <v>119</v>
      </c>
    </row>
    <row r="299" spans="1:6" ht="16.5" customHeight="1">
      <c r="A299" t="s">
        <v>134</v>
      </c>
      <c r="B299" s="4">
        <v>38</v>
      </c>
      <c r="C299" s="5" t="s">
        <v>93</v>
      </c>
      <c r="D299" s="6">
        <v>6347447</v>
      </c>
      <c r="E299" s="3" t="str">
        <f>IF($D299="","",VLOOKUP($D299,기준표!$B$4:$C$12,2,TRUE()))</f>
        <v>8단계</v>
      </c>
      <c r="F299" s="1" t="s">
        <v>119</v>
      </c>
    </row>
    <row r="300" spans="1:6" ht="16.5" customHeight="1">
      <c r="A300" t="s">
        <v>134</v>
      </c>
      <c r="B300" s="4">
        <v>39</v>
      </c>
      <c r="C300" s="5" t="s">
        <v>127</v>
      </c>
      <c r="D300" s="6">
        <v>5960246</v>
      </c>
      <c r="E300" s="3" t="str">
        <f>IF($D300="","",VLOOKUP($D300,기준표!$B$4:$C$12,2,TRUE()))</f>
        <v>8단계</v>
      </c>
      <c r="F300" s="1" t="s">
        <v>119</v>
      </c>
    </row>
    <row r="301" spans="1:6" ht="16.5" customHeight="1">
      <c r="A301" t="s">
        <v>134</v>
      </c>
      <c r="B301" s="4">
        <v>40</v>
      </c>
      <c r="C301" s="5" t="s">
        <v>106</v>
      </c>
      <c r="D301" s="6">
        <v>5879538</v>
      </c>
      <c r="E301" s="3" t="str">
        <f>IF($D301="","",VLOOKUP($D301,기준표!$B$4:$C$12,2,TRUE()))</f>
        <v>8단계</v>
      </c>
      <c r="F301" s="1" t="s">
        <v>119</v>
      </c>
    </row>
    <row r="302" spans="1:6" ht="16.5" customHeight="1">
      <c r="A302" t="s">
        <v>134</v>
      </c>
      <c r="B302" s="4">
        <v>41</v>
      </c>
      <c r="C302" s="5" t="s">
        <v>58</v>
      </c>
      <c r="D302" s="6">
        <v>5722760</v>
      </c>
      <c r="E302" s="3" t="str">
        <f>IF($D302="","",VLOOKUP($D302,기준표!$B$4:$C$12,2,TRUE()))</f>
        <v>8단계</v>
      </c>
      <c r="F302" s="1" t="s">
        <v>119</v>
      </c>
    </row>
    <row r="303" spans="1:6" ht="16.5" customHeight="1">
      <c r="A303" t="s">
        <v>134</v>
      </c>
      <c r="B303" s="4">
        <v>42</v>
      </c>
      <c r="C303" s="5" t="s">
        <v>81</v>
      </c>
      <c r="D303" s="6">
        <v>5376985</v>
      </c>
      <c r="E303" s="3" t="str">
        <f>IF($D303="","",VLOOKUP($D303,기준표!$B$4:$C$12,2,TRUE()))</f>
        <v>8단계</v>
      </c>
      <c r="F303" s="1" t="s">
        <v>119</v>
      </c>
    </row>
    <row r="304" spans="1:6" ht="16.5" customHeight="1">
      <c r="A304" t="s">
        <v>134</v>
      </c>
      <c r="B304" s="4">
        <v>43</v>
      </c>
      <c r="C304" s="5" t="s">
        <v>100</v>
      </c>
      <c r="D304" s="6">
        <v>5159999</v>
      </c>
      <c r="E304" s="3" t="str">
        <f>IF($D304="","",VLOOKUP($D304,기준표!$B$4:$C$12,2,TRUE()))</f>
        <v>8단계</v>
      </c>
      <c r="F304" s="1" t="s">
        <v>119</v>
      </c>
    </row>
    <row r="305" spans="1:6" ht="16.5" customHeight="1">
      <c r="A305" t="s">
        <v>134</v>
      </c>
      <c r="B305" s="4">
        <v>44</v>
      </c>
      <c r="C305" s="5" t="s">
        <v>2</v>
      </c>
      <c r="D305" s="6">
        <v>4816595</v>
      </c>
      <c r="E305" s="3" t="str">
        <f>IF($D305="","",VLOOKUP($D305,기준표!$B$4:$C$12,2,TRUE()))</f>
        <v>8단계</v>
      </c>
      <c r="F305" s="1" t="s">
        <v>119</v>
      </c>
    </row>
    <row r="306" spans="1:6" ht="16.5" customHeight="1">
      <c r="A306" t="s">
        <v>134</v>
      </c>
      <c r="B306" s="4">
        <v>45</v>
      </c>
      <c r="C306" s="5" t="s">
        <v>121</v>
      </c>
      <c r="D306" s="6">
        <v>4538649</v>
      </c>
      <c r="E306" s="3" t="str">
        <f>IF($D306="","",VLOOKUP($D306,기준표!$B$4:$C$12,2,TRUE()))</f>
        <v>8단계</v>
      </c>
      <c r="F306" s="1" t="s">
        <v>119</v>
      </c>
    </row>
    <row r="307" spans="1:6" ht="16.5" customHeight="1">
      <c r="A307" t="s">
        <v>134</v>
      </c>
      <c r="B307" s="4">
        <v>46</v>
      </c>
      <c r="C307" s="5" t="s">
        <v>80</v>
      </c>
      <c r="D307" s="6">
        <v>4493569</v>
      </c>
      <c r="E307" s="3" t="str">
        <f>IF($D307="","",VLOOKUP($D307,기준표!$B$4:$C$12,2,TRUE()))</f>
        <v>8단계</v>
      </c>
      <c r="F307" s="1" t="s">
        <v>119</v>
      </c>
    </row>
    <row r="308" spans="1:6" ht="16.5" customHeight="1">
      <c r="A308" t="s">
        <v>134</v>
      </c>
      <c r="B308" s="4">
        <v>47</v>
      </c>
      <c r="C308" s="5" t="s">
        <v>125</v>
      </c>
      <c r="D308" s="6">
        <v>4473170</v>
      </c>
      <c r="E308" s="3" t="str">
        <f>IF($D308="","",VLOOKUP($D308,기준표!$B$4:$C$12,2,TRUE()))</f>
        <v>8단계</v>
      </c>
      <c r="F308" s="1" t="s">
        <v>119</v>
      </c>
    </row>
    <row r="309" spans="1:6" ht="16.5" customHeight="1">
      <c r="A309" t="s">
        <v>134</v>
      </c>
      <c r="B309" s="4">
        <v>48</v>
      </c>
      <c r="C309" s="5" t="s">
        <v>95</v>
      </c>
      <c r="D309" s="6">
        <v>4398940</v>
      </c>
      <c r="E309" s="3" t="str">
        <f>IF($D309="","",VLOOKUP($D309,기준표!$B$4:$C$12,2,TRUE()))</f>
        <v>8단계</v>
      </c>
      <c r="F309" s="1" t="s">
        <v>119</v>
      </c>
    </row>
    <row r="310" spans="1:6" ht="16.5" customHeight="1">
      <c r="A310" t="s">
        <v>134</v>
      </c>
      <c r="B310" s="4">
        <v>49</v>
      </c>
      <c r="C310" s="5" t="s">
        <v>92</v>
      </c>
      <c r="D310" s="6">
        <v>4263500</v>
      </c>
      <c r="E310" s="3" t="str">
        <f>IF($D310="","",VLOOKUP($D310,기준표!$B$4:$C$12,2,TRUE()))</f>
        <v>8단계</v>
      </c>
      <c r="F310" s="1" t="s">
        <v>119</v>
      </c>
    </row>
    <row r="311" spans="1:6" ht="16.5" customHeight="1">
      <c r="A311" t="s">
        <v>134</v>
      </c>
      <c r="B311" s="4">
        <v>50</v>
      </c>
      <c r="C311" s="7" t="s">
        <v>110</v>
      </c>
      <c r="D311" s="6">
        <v>4186720</v>
      </c>
      <c r="E311" s="3" t="str">
        <f>IF($D311="","",VLOOKUP($D311,기준표!$B$4:$C$12,2,TRUE()))</f>
        <v>8단계</v>
      </c>
      <c r="F311" s="1" t="s">
        <v>119</v>
      </c>
    </row>
    <row r="312" spans="1:6" ht="16.5" customHeight="1">
      <c r="A312" t="s">
        <v>134</v>
      </c>
      <c r="B312" s="4">
        <v>51</v>
      </c>
      <c r="C312" s="5" t="s">
        <v>105</v>
      </c>
      <c r="D312" s="6">
        <v>4155232</v>
      </c>
      <c r="E312" s="3" t="str">
        <f>IF($D312="","",VLOOKUP($D312,기준표!$B$4:$C$12,2,TRUE()))</f>
        <v>8단계</v>
      </c>
      <c r="F312" s="1" t="s">
        <v>119</v>
      </c>
    </row>
    <row r="313" spans="1:6" ht="16.5" customHeight="1">
      <c r="A313" t="s">
        <v>134</v>
      </c>
      <c r="B313" s="4">
        <v>52</v>
      </c>
      <c r="C313" s="5" t="s">
        <v>94</v>
      </c>
      <c r="D313" s="6">
        <v>4148173</v>
      </c>
      <c r="E313" s="3" t="str">
        <f>IF($D313="","",VLOOKUP($D313,기준표!$B$4:$C$12,2,TRUE()))</f>
        <v>8단계</v>
      </c>
      <c r="F313" s="1" t="s">
        <v>119</v>
      </c>
    </row>
    <row r="314" spans="1:6" ht="16.5" customHeight="1">
      <c r="A314" t="s">
        <v>134</v>
      </c>
      <c r="B314" s="4">
        <v>53</v>
      </c>
      <c r="C314" s="5" t="s">
        <v>86</v>
      </c>
      <c r="D314" s="6">
        <v>3953623</v>
      </c>
      <c r="E314" s="3" t="str">
        <f>IF($D314="","",VLOOKUP($D314,기준표!$B$4:$C$12,2,TRUE()))</f>
        <v>8단계</v>
      </c>
      <c r="F314" s="1" t="s">
        <v>119</v>
      </c>
    </row>
    <row r="315" spans="1:6" ht="16.5" customHeight="1">
      <c r="A315" t="s">
        <v>134</v>
      </c>
      <c r="B315" s="4">
        <v>54</v>
      </c>
      <c r="C315" s="5" t="s">
        <v>78</v>
      </c>
      <c r="D315" s="6">
        <v>3841825</v>
      </c>
      <c r="E315" s="3" t="str">
        <f>IF($D315="","",VLOOKUP($D315,기준표!$B$4:$C$12,2,TRUE()))</f>
        <v>8단계</v>
      </c>
      <c r="F315" s="1" t="s">
        <v>119</v>
      </c>
    </row>
    <row r="316" spans="1:6" ht="16.5" customHeight="1">
      <c r="A316" t="s">
        <v>134</v>
      </c>
      <c r="B316" s="4">
        <v>55</v>
      </c>
      <c r="C316" s="5" t="s">
        <v>103</v>
      </c>
      <c r="D316" s="6">
        <v>3725748</v>
      </c>
      <c r="E316" s="3" t="str">
        <f>IF($D316="","",VLOOKUP($D316,기준표!$B$4:$C$12,2,TRUE()))</f>
        <v>8단계</v>
      </c>
      <c r="F316" s="1" t="s">
        <v>119</v>
      </c>
    </row>
    <row r="317" spans="1:6" ht="16.5" customHeight="1">
      <c r="A317" t="s">
        <v>134</v>
      </c>
      <c r="B317" s="4">
        <v>56</v>
      </c>
      <c r="C317" s="5" t="s">
        <v>96</v>
      </c>
      <c r="D317" s="6">
        <v>3668126</v>
      </c>
      <c r="E317" s="3" t="str">
        <f>IF($D317="","",VLOOKUP($D317,기준표!$B$4:$C$12,2,TRUE()))</f>
        <v>8단계</v>
      </c>
      <c r="F317" s="1" t="s">
        <v>119</v>
      </c>
    </row>
    <row r="318" spans="1:6" ht="16.5" customHeight="1">
      <c r="A318" t="s">
        <v>134</v>
      </c>
      <c r="B318" s="4">
        <v>57</v>
      </c>
      <c r="C318" s="5" t="s">
        <v>88</v>
      </c>
      <c r="D318" s="6">
        <v>3655552</v>
      </c>
      <c r="E318" s="3" t="str">
        <f>IF($D318="","",VLOOKUP($D318,기준표!$B$4:$C$12,2,TRUE()))</f>
        <v>8단계</v>
      </c>
      <c r="F318" s="1" t="s">
        <v>119</v>
      </c>
    </row>
    <row r="319" spans="1:6" ht="16.5" customHeight="1">
      <c r="A319" t="s">
        <v>134</v>
      </c>
      <c r="B319" s="4">
        <v>58</v>
      </c>
      <c r="C319" s="5" t="s">
        <v>104</v>
      </c>
      <c r="D319" s="6">
        <v>3643670</v>
      </c>
      <c r="E319" s="3" t="str">
        <f>IF($D319="","",VLOOKUP($D319,기준표!$B$4:$C$12,2,TRUE()))</f>
        <v>8단계</v>
      </c>
      <c r="F319" s="1" t="s">
        <v>119</v>
      </c>
    </row>
    <row r="320" spans="1:6" ht="16.5" customHeight="1">
      <c r="A320" t="s">
        <v>134</v>
      </c>
      <c r="B320" s="4">
        <v>59</v>
      </c>
      <c r="C320" s="5" t="s">
        <v>83</v>
      </c>
      <c r="D320" s="6">
        <v>2973305</v>
      </c>
      <c r="E320" s="3" t="str">
        <f>IF($D320="","",VLOOKUP($D320,기준표!$B$4:$C$12,2,TRUE()))</f>
        <v>8단계</v>
      </c>
      <c r="F320" s="1" t="s">
        <v>119</v>
      </c>
    </row>
    <row r="321" spans="1:6" ht="16.5" customHeight="1">
      <c r="A321" t="s">
        <v>134</v>
      </c>
      <c r="B321" s="4">
        <v>60</v>
      </c>
      <c r="C321" s="5" t="s">
        <v>111</v>
      </c>
      <c r="D321" s="6">
        <v>2438490</v>
      </c>
      <c r="E321" s="3" t="str">
        <f>IF($D321="","",VLOOKUP($D321,기준표!$B$4:$C$12,2,TRUE()))</f>
        <v>7단계</v>
      </c>
      <c r="F321" s="1" t="s">
        <v>119</v>
      </c>
    </row>
    <row r="322" spans="1:6" ht="16.5" customHeight="1">
      <c r="A322" t="s">
        <v>134</v>
      </c>
      <c r="B322" s="4">
        <v>61</v>
      </c>
      <c r="C322" s="5" t="s">
        <v>99</v>
      </c>
      <c r="D322" s="6">
        <v>2379290</v>
      </c>
      <c r="E322" s="3" t="str">
        <f>IF($D322="","",VLOOKUP($D322,기준표!$B$4:$C$12,2,TRUE()))</f>
        <v>7단계</v>
      </c>
      <c r="F322" s="1" t="s">
        <v>119</v>
      </c>
    </row>
    <row r="323" spans="1:6" ht="16.5" customHeight="1">
      <c r="A323" t="s">
        <v>134</v>
      </c>
      <c r="B323" s="4">
        <v>62</v>
      </c>
      <c r="C323" s="5" t="s">
        <v>135</v>
      </c>
      <c r="D323" s="6">
        <v>2161578</v>
      </c>
      <c r="E323" s="3" t="str">
        <f>IF($D323="","",VLOOKUP($D323,기준표!$B$4:$C$12,2,TRUE()))</f>
        <v>6단계</v>
      </c>
      <c r="F323" s="1" t="s">
        <v>119</v>
      </c>
    </row>
    <row r="324" spans="1:6" ht="16.5" customHeight="1">
      <c r="A324" t="s">
        <v>134</v>
      </c>
      <c r="B324" s="4">
        <v>63</v>
      </c>
      <c r="C324" s="5" t="s">
        <v>136</v>
      </c>
      <c r="D324" s="6">
        <v>2130311</v>
      </c>
      <c r="E324" s="3" t="str">
        <f>IF($D324="","",VLOOKUP($D324,기준표!$B$4:$C$12,2,TRUE()))</f>
        <v>6단계</v>
      </c>
      <c r="F324" s="1" t="s">
        <v>119</v>
      </c>
    </row>
    <row r="325" spans="1:6" ht="16.5" customHeight="1">
      <c r="A325" t="s">
        <v>134</v>
      </c>
      <c r="B325" s="4">
        <v>64</v>
      </c>
      <c r="C325" s="5" t="s">
        <v>102</v>
      </c>
      <c r="D325" s="6">
        <v>1272950</v>
      </c>
      <c r="E325" s="3" t="str">
        <f>IF($D325="","",VLOOKUP($D325,기준표!$B$4:$C$12,2,TRUE()))</f>
        <v>6단계</v>
      </c>
      <c r="F325" s="1" t="s">
        <v>119</v>
      </c>
    </row>
    <row r="326" spans="1:6" ht="16.5" customHeight="1">
      <c r="A326" t="s">
        <v>134</v>
      </c>
      <c r="B326" s="4">
        <v>65</v>
      </c>
      <c r="C326" s="5" t="s">
        <v>101</v>
      </c>
      <c r="D326" s="6">
        <v>1207378</v>
      </c>
      <c r="E326" s="3" t="str">
        <f>IF($D326="","",VLOOKUP($D326,기준표!$B$4:$C$12,2,TRUE()))</f>
        <v>6단계</v>
      </c>
      <c r="F326" s="1" t="s">
        <v>119</v>
      </c>
    </row>
    <row r="327" spans="1:6" ht="16.5" customHeight="1">
      <c r="A327" t="s">
        <v>134</v>
      </c>
      <c r="B327" s="4">
        <v>66</v>
      </c>
      <c r="C327" s="5" t="s">
        <v>109</v>
      </c>
      <c r="D327" s="6">
        <v>959773</v>
      </c>
      <c r="E327" s="3" t="str">
        <f>IF($D327="","",VLOOKUP($D327,기준표!$B$4:$C$12,2,TRUE()))</f>
        <v>5단계</v>
      </c>
      <c r="F327" s="1" t="s">
        <v>119</v>
      </c>
    </row>
    <row r="328" spans="1:6" ht="16.5" customHeight="1">
      <c r="A328" t="s">
        <v>134</v>
      </c>
      <c r="B328" s="4">
        <v>67</v>
      </c>
      <c r="C328" s="5" t="s">
        <v>113</v>
      </c>
      <c r="D328" s="6">
        <v>276650</v>
      </c>
      <c r="E328" s="3" t="str">
        <f>IF($D328="","",VLOOKUP($D328,기준표!$B$4:$C$12,2,TRUE()))</f>
        <v>3단계</v>
      </c>
      <c r="F328" s="1" t="s">
        <v>119</v>
      </c>
    </row>
    <row r="329" spans="1:6" ht="16.5" customHeight="1">
      <c r="A329" t="s">
        <v>137</v>
      </c>
      <c r="B329" s="2">
        <v>1</v>
      </c>
      <c r="C329" s="8" t="s">
        <v>69</v>
      </c>
      <c r="D329" s="2">
        <v>51572469</v>
      </c>
      <c r="E329" s="3" t="str">
        <f>IF($D329="","",VLOOKUP($D329,기준표!$B$4:$C$12,2,TRUE()))</f>
        <v>9단계</v>
      </c>
      <c r="F329" s="1" t="s">
        <v>119</v>
      </c>
    </row>
    <row r="330" spans="1:6" ht="16.5" customHeight="1">
      <c r="A330" t="s">
        <v>137</v>
      </c>
      <c r="B330" s="2">
        <v>2</v>
      </c>
      <c r="C330" s="9" t="s">
        <v>73</v>
      </c>
      <c r="D330" s="2">
        <v>45927381</v>
      </c>
      <c r="E330" s="3" t="str">
        <f>IF($D330="","",VLOOKUP($D330,기준표!$B$4:$C$12,2,TRUE()))</f>
        <v>9단계</v>
      </c>
      <c r="F330" s="1" t="s">
        <v>119</v>
      </c>
    </row>
    <row r="331" spans="1:6" ht="16.5" customHeight="1">
      <c r="A331" t="s">
        <v>137</v>
      </c>
      <c r="B331" s="2">
        <v>3</v>
      </c>
      <c r="C331" s="9" t="s">
        <v>126</v>
      </c>
      <c r="D331" s="2">
        <v>44882553</v>
      </c>
      <c r="E331" s="3" t="str">
        <f>IF($D331="","",VLOOKUP($D331,기준표!$B$4:$C$12,2,TRUE()))</f>
        <v>9단계</v>
      </c>
      <c r="F331" s="1" t="s">
        <v>119</v>
      </c>
    </row>
    <row r="332" spans="1:6" ht="16.5" customHeight="1">
      <c r="A332" t="s">
        <v>137</v>
      </c>
      <c r="B332" s="2">
        <v>4</v>
      </c>
      <c r="C332" s="8" t="s">
        <v>57</v>
      </c>
      <c r="D332" s="2">
        <v>36401622</v>
      </c>
      <c r="E332" s="3" t="str">
        <f>IF($D332="","",VLOOKUP($D332,기준표!$B$4:$C$12,2,TRUE()))</f>
        <v>9단계</v>
      </c>
      <c r="F332" s="1" t="s">
        <v>119</v>
      </c>
    </row>
    <row r="333" spans="1:6" ht="16.5" customHeight="1">
      <c r="A333" t="s">
        <v>137</v>
      </c>
      <c r="B333" s="2">
        <v>5</v>
      </c>
      <c r="C333" s="9" t="s">
        <v>51</v>
      </c>
      <c r="D333" s="2">
        <v>32814024</v>
      </c>
      <c r="E333" s="3" t="str">
        <f>IF($D333="","",VLOOKUP($D333,기준표!$B$4:$C$12,2,TRUE()))</f>
        <v>9단계</v>
      </c>
      <c r="F333" s="1" t="s">
        <v>119</v>
      </c>
    </row>
    <row r="334" spans="1:6" ht="16.5" customHeight="1">
      <c r="A334" t="s">
        <v>137</v>
      </c>
      <c r="B334" s="2">
        <v>6</v>
      </c>
      <c r="C334" s="9" t="s">
        <v>60</v>
      </c>
      <c r="D334" s="2">
        <v>30352177</v>
      </c>
      <c r="E334" s="3" t="str">
        <f>IF($D334="","",VLOOKUP($D334,기준표!$B$4:$C$12,2,TRUE()))</f>
        <v>9단계</v>
      </c>
      <c r="F334" s="1" t="s">
        <v>119</v>
      </c>
    </row>
    <row r="335" spans="1:6" ht="16.5" customHeight="1">
      <c r="A335" t="s">
        <v>137</v>
      </c>
      <c r="B335" s="2">
        <v>7</v>
      </c>
      <c r="C335" s="9" t="s">
        <v>75</v>
      </c>
      <c r="D335" s="2">
        <v>29064577</v>
      </c>
      <c r="E335" s="3" t="str">
        <f>IF($D335="","",VLOOKUP($D335,기준표!$B$4:$C$12,2,TRUE()))</f>
        <v>9단계</v>
      </c>
      <c r="F335" s="1" t="s">
        <v>119</v>
      </c>
    </row>
    <row r="336" spans="1:6" ht="16.5" customHeight="1">
      <c r="A336" t="s">
        <v>137</v>
      </c>
      <c r="B336" s="2">
        <v>8</v>
      </c>
      <c r="C336" s="9" t="s">
        <v>71</v>
      </c>
      <c r="D336" s="2">
        <v>28830256</v>
      </c>
      <c r="E336" s="3" t="str">
        <f>IF($D336="","",VLOOKUP($D336,기준표!$B$4:$C$12,2,TRUE()))</f>
        <v>9단계</v>
      </c>
      <c r="F336" s="1" t="s">
        <v>119</v>
      </c>
    </row>
    <row r="337" spans="1:6" ht="16.5" customHeight="1">
      <c r="A337" t="s">
        <v>137</v>
      </c>
      <c r="B337" s="2">
        <v>9</v>
      </c>
      <c r="C337" s="9" t="s">
        <v>4</v>
      </c>
      <c r="D337" s="2">
        <v>27963110</v>
      </c>
      <c r="E337" s="3" t="str">
        <f>IF($D337="","",VLOOKUP($D337,기준표!$B$4:$C$12,2,TRUE()))</f>
        <v>9단계</v>
      </c>
      <c r="F337" s="1" t="s">
        <v>119</v>
      </c>
    </row>
    <row r="338" spans="1:6" ht="16.5" customHeight="1">
      <c r="A338" t="s">
        <v>137</v>
      </c>
      <c r="B338" s="2">
        <v>10</v>
      </c>
      <c r="C338" s="9" t="s">
        <v>131</v>
      </c>
      <c r="D338" s="2">
        <v>27716398</v>
      </c>
      <c r="E338" s="3" t="str">
        <f>IF($D338="","",VLOOKUP($D338,기준표!$B$4:$C$12,2,TRUE()))</f>
        <v>9단계</v>
      </c>
      <c r="F338" s="1" t="s">
        <v>119</v>
      </c>
    </row>
    <row r="339" spans="1:6" ht="16.5" customHeight="1">
      <c r="A339" t="s">
        <v>137</v>
      </c>
      <c r="B339" s="2">
        <v>11</v>
      </c>
      <c r="C339" s="9" t="s">
        <v>74</v>
      </c>
      <c r="D339" s="2">
        <v>27125102</v>
      </c>
      <c r="E339" s="3" t="str">
        <f>IF($D339="","",VLOOKUP($D339,기준표!$B$4:$C$12,2,TRUE()))</f>
        <v>9단계</v>
      </c>
      <c r="F339" s="1" t="s">
        <v>119</v>
      </c>
    </row>
    <row r="340" spans="1:6" ht="16.5" customHeight="1">
      <c r="A340" t="s">
        <v>137</v>
      </c>
      <c r="B340" s="2">
        <v>12</v>
      </c>
      <c r="C340" s="9" t="s">
        <v>56</v>
      </c>
      <c r="D340" s="2">
        <v>26303031</v>
      </c>
      <c r="E340" s="3" t="str">
        <f>IF($D340="","",VLOOKUP($D340,기준표!$B$4:$C$12,2,TRUE()))</f>
        <v>9단계</v>
      </c>
      <c r="F340" s="1" t="s">
        <v>119</v>
      </c>
    </row>
    <row r="341" spans="1:6" ht="16.5" customHeight="1">
      <c r="A341" t="s">
        <v>137</v>
      </c>
      <c r="B341" s="2">
        <v>13</v>
      </c>
      <c r="C341" s="9" t="s">
        <v>61</v>
      </c>
      <c r="D341" s="2">
        <v>25598926</v>
      </c>
      <c r="E341" s="3" t="str">
        <f>IF($D341="","",VLOOKUP($D341,기준표!$B$4:$C$12,2,TRUE()))</f>
        <v>9단계</v>
      </c>
      <c r="F341" s="1" t="s">
        <v>119</v>
      </c>
    </row>
    <row r="342" spans="1:6" ht="16.5" customHeight="1">
      <c r="A342" t="s">
        <v>137</v>
      </c>
      <c r="B342" s="2">
        <v>14</v>
      </c>
      <c r="C342" s="9" t="s">
        <v>118</v>
      </c>
      <c r="D342" s="2">
        <v>25275492</v>
      </c>
      <c r="E342" s="3" t="str">
        <f>IF($D342="","",VLOOKUP($D342,기준표!$B$4:$C$12,2,TRUE()))</f>
        <v>9단계</v>
      </c>
      <c r="F342" s="1" t="s">
        <v>119</v>
      </c>
    </row>
    <row r="343" spans="1:6" ht="16.5" customHeight="1">
      <c r="A343" t="s">
        <v>137</v>
      </c>
      <c r="B343" s="2">
        <v>15</v>
      </c>
      <c r="C343" s="9" t="s">
        <v>130</v>
      </c>
      <c r="D343" s="2">
        <v>24620930</v>
      </c>
      <c r="E343" s="3" t="str">
        <f>IF($D343="","",VLOOKUP($D343,기준표!$B$4:$C$12,2,TRUE()))</f>
        <v>9단계</v>
      </c>
      <c r="F343" s="1" t="s">
        <v>119</v>
      </c>
    </row>
    <row r="344" spans="1:6" ht="16.5" customHeight="1">
      <c r="A344" t="s">
        <v>137</v>
      </c>
      <c r="B344" s="2">
        <v>16</v>
      </c>
      <c r="C344" s="9" t="s">
        <v>54</v>
      </c>
      <c r="D344" s="2">
        <v>24434321</v>
      </c>
      <c r="E344" s="3" t="str">
        <f>IF($D344="","",VLOOKUP($D344,기준표!$B$4:$C$12,2,TRUE()))</f>
        <v>9단계</v>
      </c>
      <c r="F344" s="1" t="s">
        <v>119</v>
      </c>
    </row>
    <row r="345" spans="1:6" ht="16.5" customHeight="1">
      <c r="A345" t="s">
        <v>137</v>
      </c>
      <c r="B345" s="2">
        <v>17</v>
      </c>
      <c r="C345" s="9" t="s">
        <v>65</v>
      </c>
      <c r="D345" s="2">
        <v>21605033</v>
      </c>
      <c r="E345" s="3" t="str">
        <f>IF($D345="","",VLOOKUP($D345,기준표!$B$4:$C$12,2,TRUE()))</f>
        <v>9단계</v>
      </c>
      <c r="F345" s="1" t="s">
        <v>119</v>
      </c>
    </row>
    <row r="346" spans="1:6" ht="16.5" customHeight="1">
      <c r="A346" t="s">
        <v>137</v>
      </c>
      <c r="B346" s="2">
        <v>18</v>
      </c>
      <c r="C346" s="9" t="s">
        <v>85</v>
      </c>
      <c r="D346" s="2">
        <v>21478397</v>
      </c>
      <c r="E346" s="3" t="str">
        <f>IF($D346="","",VLOOKUP($D346,기준표!$B$4:$C$12,2,TRUE()))</f>
        <v>9단계</v>
      </c>
      <c r="F346" s="1" t="s">
        <v>119</v>
      </c>
    </row>
    <row r="347" spans="1:6" ht="16.5" customHeight="1">
      <c r="A347" t="s">
        <v>137</v>
      </c>
      <c r="B347" s="2">
        <v>19</v>
      </c>
      <c r="C347" s="9" t="s">
        <v>67</v>
      </c>
      <c r="D347" s="2">
        <v>21123578</v>
      </c>
      <c r="E347" s="3" t="str">
        <f>IF($D347="","",VLOOKUP($D347,기준표!$B$4:$C$12,2,TRUE()))</f>
        <v>9단계</v>
      </c>
      <c r="F347" s="1" t="s">
        <v>119</v>
      </c>
    </row>
    <row r="348" spans="1:6" ht="16.5" customHeight="1">
      <c r="A348" t="s">
        <v>137</v>
      </c>
      <c r="B348" s="2">
        <v>20</v>
      </c>
      <c r="C348" s="9" t="s">
        <v>82</v>
      </c>
      <c r="D348" s="2">
        <v>20055931</v>
      </c>
      <c r="E348" s="3" t="str">
        <f>IF($D348="","",VLOOKUP($D348,기준표!$B$4:$C$12,2,TRUE()))</f>
        <v>9단계</v>
      </c>
      <c r="F348" s="1" t="s">
        <v>119</v>
      </c>
    </row>
    <row r="349" spans="1:6" ht="16.5" customHeight="1">
      <c r="A349" t="s">
        <v>137</v>
      </c>
      <c r="B349" s="2">
        <v>21</v>
      </c>
      <c r="C349" s="9" t="s">
        <v>20</v>
      </c>
      <c r="D349" s="2">
        <v>19328458</v>
      </c>
      <c r="E349" s="3" t="str">
        <f>IF($D349="","",VLOOKUP($D349,기준표!$B$4:$C$12,2,TRUE()))</f>
        <v>9단계</v>
      </c>
      <c r="F349" s="1" t="s">
        <v>119</v>
      </c>
    </row>
    <row r="350" spans="1:6" ht="16.5" customHeight="1">
      <c r="A350" t="s">
        <v>137</v>
      </c>
      <c r="B350" s="2">
        <v>22</v>
      </c>
      <c r="C350" s="9" t="s">
        <v>64</v>
      </c>
      <c r="D350" s="2">
        <v>18197828</v>
      </c>
      <c r="E350" s="3" t="str">
        <f>IF($D350="","",VLOOKUP($D350,기준표!$B$4:$C$12,2,TRUE()))</f>
        <v>9단계</v>
      </c>
      <c r="F350" s="1" t="s">
        <v>119</v>
      </c>
    </row>
    <row r="351" spans="1:6" ht="16.5" customHeight="1">
      <c r="A351" t="s">
        <v>137</v>
      </c>
      <c r="B351" s="2">
        <v>23</v>
      </c>
      <c r="C351" s="9" t="s">
        <v>84</v>
      </c>
      <c r="D351" s="2">
        <v>17545894</v>
      </c>
      <c r="E351" s="3" t="str">
        <f>IF($D351="","",VLOOKUP($D351,기준표!$B$4:$C$12,2,TRUE()))</f>
        <v>9단계</v>
      </c>
      <c r="F351" s="1" t="s">
        <v>119</v>
      </c>
    </row>
    <row r="352" spans="1:6" ht="16.5" customHeight="1">
      <c r="A352" t="s">
        <v>137</v>
      </c>
      <c r="B352" s="2">
        <v>24</v>
      </c>
      <c r="C352" s="9" t="s">
        <v>17</v>
      </c>
      <c r="D352" s="2">
        <v>17451192</v>
      </c>
      <c r="E352" s="3" t="str">
        <f>IF($D352="","",VLOOKUP($D352,기준표!$B$4:$C$12,2,TRUE()))</f>
        <v>9단계</v>
      </c>
      <c r="F352" s="1" t="s">
        <v>119</v>
      </c>
    </row>
    <row r="353" spans="1:6" ht="16.5" customHeight="1">
      <c r="A353" t="s">
        <v>137</v>
      </c>
      <c r="B353" s="2">
        <v>25</v>
      </c>
      <c r="C353" s="9" t="s">
        <v>79</v>
      </c>
      <c r="D353" s="2">
        <v>17095537</v>
      </c>
      <c r="E353" s="3" t="str">
        <f>IF($D353="","",VLOOKUP($D353,기준표!$B$4:$C$12,2,TRUE()))</f>
        <v>9단계</v>
      </c>
      <c r="F353" s="1" t="s">
        <v>119</v>
      </c>
    </row>
    <row r="354" spans="1:6" ht="16.5" customHeight="1">
      <c r="A354" t="s">
        <v>137</v>
      </c>
      <c r="B354" s="2">
        <v>26</v>
      </c>
      <c r="C354" s="9" t="s">
        <v>120</v>
      </c>
      <c r="D354" s="2">
        <v>16940645</v>
      </c>
      <c r="E354" s="3" t="str">
        <f>IF($D354="","",VLOOKUP($D354,기준표!$B$4:$C$12,2,TRUE()))</f>
        <v>9단계</v>
      </c>
      <c r="F354" s="1" t="s">
        <v>119</v>
      </c>
    </row>
    <row r="355" spans="1:6" ht="16.5" customHeight="1">
      <c r="A355" t="s">
        <v>137</v>
      </c>
      <c r="B355" s="2">
        <v>27</v>
      </c>
      <c r="C355" s="9" t="s">
        <v>122</v>
      </c>
      <c r="D355" s="2">
        <v>16625723</v>
      </c>
      <c r="E355" s="3" t="str">
        <f>IF($D355="","",VLOOKUP($D355,기준표!$B$4:$C$12,2,TRUE()))</f>
        <v>9단계</v>
      </c>
      <c r="F355" s="1" t="s">
        <v>119</v>
      </c>
    </row>
    <row r="356" spans="1:6" ht="16.5" customHeight="1">
      <c r="A356" t="s">
        <v>137</v>
      </c>
      <c r="B356" s="2">
        <v>28</v>
      </c>
      <c r="C356" s="9" t="s">
        <v>63</v>
      </c>
      <c r="D356" s="2">
        <v>16582350</v>
      </c>
      <c r="E356" s="3" t="str">
        <f>IF($D356="","",VLOOKUP($D356,기준표!$B$4:$C$12,2,TRUE()))</f>
        <v>9단계</v>
      </c>
      <c r="F356" s="1" t="s">
        <v>119</v>
      </c>
    </row>
    <row r="357" spans="1:6" ht="16.5" customHeight="1">
      <c r="A357" t="s">
        <v>137</v>
      </c>
      <c r="B357" s="2">
        <v>29</v>
      </c>
      <c r="C357" s="9" t="s">
        <v>124</v>
      </c>
      <c r="D357" s="2">
        <v>16374224</v>
      </c>
      <c r="E357" s="3" t="str">
        <f>IF($D357="","",VLOOKUP($D357,기준표!$B$4:$C$12,2,TRUE()))</f>
        <v>9단계</v>
      </c>
      <c r="F357" s="1" t="s">
        <v>119</v>
      </c>
    </row>
    <row r="358" spans="1:6" ht="16.5" customHeight="1">
      <c r="A358" t="s">
        <v>137</v>
      </c>
      <c r="B358" s="2">
        <v>30</v>
      </c>
      <c r="C358" s="9" t="s">
        <v>77</v>
      </c>
      <c r="D358" s="2">
        <v>15989772</v>
      </c>
      <c r="E358" s="3" t="str">
        <f>IF($D358="","",VLOOKUP($D358,기준표!$B$4:$C$12,2,TRUE()))</f>
        <v>9단계</v>
      </c>
      <c r="F358" s="1" t="s">
        <v>119</v>
      </c>
    </row>
    <row r="359" spans="1:6" ht="16.5" customHeight="1">
      <c r="A359" t="s">
        <v>137</v>
      </c>
      <c r="B359" s="2">
        <v>31</v>
      </c>
      <c r="C359" s="9" t="s">
        <v>62</v>
      </c>
      <c r="D359" s="2">
        <v>15124678</v>
      </c>
      <c r="E359" s="3" t="str">
        <f>IF($D359="","",VLOOKUP($D359,기준표!$B$4:$C$12,2,TRUE()))</f>
        <v>9단계</v>
      </c>
      <c r="F359" s="1" t="s">
        <v>119</v>
      </c>
    </row>
    <row r="360" spans="1:6" ht="16.5" customHeight="1">
      <c r="A360" t="s">
        <v>137</v>
      </c>
      <c r="B360" s="2">
        <v>32</v>
      </c>
      <c r="C360" s="9" t="s">
        <v>128</v>
      </c>
      <c r="D360" s="2">
        <v>14388261</v>
      </c>
      <c r="E360" s="3" t="str">
        <f>IF($D360="","",VLOOKUP($D360,기준표!$B$4:$C$12,2,TRUE()))</f>
        <v>9단계</v>
      </c>
      <c r="F360" s="1" t="s">
        <v>119</v>
      </c>
    </row>
    <row r="361" spans="1:6" ht="16.5" customHeight="1">
      <c r="A361" t="s">
        <v>137</v>
      </c>
      <c r="B361" s="2">
        <v>33</v>
      </c>
      <c r="C361" s="9" t="s">
        <v>93</v>
      </c>
      <c r="D361" s="2">
        <v>14253593</v>
      </c>
      <c r="E361" s="3" t="str">
        <f>IF($D361="","",VLOOKUP($D361,기준표!$B$4:$C$12,2,TRUE()))</f>
        <v>9단계</v>
      </c>
      <c r="F361" s="1" t="s">
        <v>119</v>
      </c>
    </row>
    <row r="362" spans="1:6" ht="16.5" customHeight="1">
      <c r="A362" t="s">
        <v>137</v>
      </c>
      <c r="B362" s="2">
        <v>34</v>
      </c>
      <c r="C362" s="9" t="s">
        <v>129</v>
      </c>
      <c r="D362" s="2">
        <v>13903501</v>
      </c>
      <c r="E362" s="3" t="str">
        <f>IF($D362="","",VLOOKUP($D362,기준표!$B$4:$C$12,2,TRUE()))</f>
        <v>9단계</v>
      </c>
      <c r="F362" s="1" t="s">
        <v>119</v>
      </c>
    </row>
    <row r="363" spans="1:6" ht="16.5" customHeight="1">
      <c r="A363" t="s">
        <v>137</v>
      </c>
      <c r="B363" s="2">
        <v>35</v>
      </c>
      <c r="C363" s="9" t="s">
        <v>127</v>
      </c>
      <c r="D363" s="2">
        <v>13791347</v>
      </c>
      <c r="E363" s="3" t="str">
        <f>IF($D363="","",VLOOKUP($D363,기준표!$B$4:$C$12,2,TRUE()))</f>
        <v>9단계</v>
      </c>
      <c r="F363" s="1" t="s">
        <v>119</v>
      </c>
    </row>
    <row r="364" spans="1:6" ht="16.5" customHeight="1">
      <c r="A364" t="s">
        <v>137</v>
      </c>
      <c r="B364" s="2">
        <v>36</v>
      </c>
      <c r="C364" s="9" t="s">
        <v>123</v>
      </c>
      <c r="D364" s="2">
        <v>13310754</v>
      </c>
      <c r="E364" s="3" t="str">
        <f>IF($D364="","",VLOOKUP($D364,기준표!$B$4:$C$12,2,TRUE()))</f>
        <v>9단계</v>
      </c>
      <c r="F364" s="1" t="s">
        <v>119</v>
      </c>
    </row>
    <row r="365" spans="1:6" ht="16.5" customHeight="1">
      <c r="A365" t="s">
        <v>137</v>
      </c>
      <c r="B365" s="2">
        <v>37</v>
      </c>
      <c r="C365" s="9" t="s">
        <v>90</v>
      </c>
      <c r="D365" s="2">
        <v>12684262</v>
      </c>
      <c r="E365" s="3" t="str">
        <f>IF($D365="","",VLOOKUP($D365,기준표!$B$4:$C$12,2,TRUE()))</f>
        <v>9단계</v>
      </c>
      <c r="F365" s="1" t="s">
        <v>119</v>
      </c>
    </row>
    <row r="366" spans="1:6" ht="16.5" customHeight="1">
      <c r="A366" t="s">
        <v>137</v>
      </c>
      <c r="B366" s="2">
        <v>38</v>
      </c>
      <c r="C366" s="9" t="s">
        <v>2</v>
      </c>
      <c r="D366" s="2">
        <v>12215462</v>
      </c>
      <c r="E366" s="3" t="str">
        <f>IF($D366="","",VLOOKUP($D366,기준표!$B$4:$C$12,2,TRUE()))</f>
        <v>9단계</v>
      </c>
      <c r="F366" s="1" t="s">
        <v>119</v>
      </c>
    </row>
    <row r="367" spans="1:6" ht="16.5" customHeight="1">
      <c r="A367" t="s">
        <v>137</v>
      </c>
      <c r="B367" s="2">
        <v>39</v>
      </c>
      <c r="C367" s="9" t="s">
        <v>136</v>
      </c>
      <c r="D367" s="2">
        <v>11325863</v>
      </c>
      <c r="E367" s="3" t="str">
        <f>IF($D367="","",VLOOKUP($D367,기준표!$B$4:$C$12,2,TRUE()))</f>
        <v>9단계</v>
      </c>
      <c r="F367" s="1" t="s">
        <v>119</v>
      </c>
    </row>
    <row r="368" spans="1:6" ht="16.5" customHeight="1">
      <c r="A368" t="s">
        <v>137</v>
      </c>
      <c r="B368" s="2">
        <v>40</v>
      </c>
      <c r="C368" s="9" t="s">
        <v>95</v>
      </c>
      <c r="D368" s="2">
        <v>10130369</v>
      </c>
      <c r="E368" s="3" t="str">
        <f>IF($D368="","",VLOOKUP($D368,기준표!$B$4:$C$12,2,TRUE()))</f>
        <v>9단계</v>
      </c>
      <c r="F368" s="1" t="s">
        <v>119</v>
      </c>
    </row>
    <row r="369" spans="1:6" ht="16.5" customHeight="1">
      <c r="A369" t="s">
        <v>137</v>
      </c>
      <c r="B369" s="2">
        <v>41</v>
      </c>
      <c r="C369" s="9" t="s">
        <v>94</v>
      </c>
      <c r="D369" s="2">
        <v>10079600</v>
      </c>
      <c r="E369" s="3" t="str">
        <f>IF($D369="","",VLOOKUP($D369,기준표!$B$4:$C$12,2,TRUE()))</f>
        <v>9단계</v>
      </c>
      <c r="F369" s="1" t="s">
        <v>119</v>
      </c>
    </row>
    <row r="370" spans="1:6" ht="16.5" customHeight="1">
      <c r="A370" t="s">
        <v>137</v>
      </c>
      <c r="B370" s="2">
        <v>42</v>
      </c>
      <c r="C370" s="9" t="s">
        <v>78</v>
      </c>
      <c r="D370" s="2">
        <v>9578558</v>
      </c>
      <c r="E370" s="3" t="str">
        <f>IF($D370="","",VLOOKUP($D370,기준표!$B$4:$C$12,2,TRUE()))</f>
        <v>9단계</v>
      </c>
      <c r="F370" s="1" t="s">
        <v>119</v>
      </c>
    </row>
    <row r="371" spans="1:6" ht="16.5" customHeight="1">
      <c r="A371" t="s">
        <v>137</v>
      </c>
      <c r="B371" s="2">
        <v>43</v>
      </c>
      <c r="C371" s="9" t="s">
        <v>81</v>
      </c>
      <c r="D371" s="2">
        <v>9480264</v>
      </c>
      <c r="E371" s="3" t="str">
        <f>IF($D371="","",VLOOKUP($D371,기준표!$B$4:$C$12,2,TRUE()))</f>
        <v>9단계</v>
      </c>
      <c r="F371" s="1" t="s">
        <v>119</v>
      </c>
    </row>
    <row r="372" spans="1:6" ht="16.5" customHeight="1">
      <c r="A372" t="s">
        <v>137</v>
      </c>
      <c r="B372" s="2">
        <v>44</v>
      </c>
      <c r="C372" s="9" t="s">
        <v>86</v>
      </c>
      <c r="D372" s="2">
        <v>9389063</v>
      </c>
      <c r="E372" s="3" t="str">
        <f>IF($D372="","",VLOOKUP($D372,기준표!$B$4:$C$12,2,TRUE()))</f>
        <v>9단계</v>
      </c>
      <c r="F372" s="1" t="s">
        <v>119</v>
      </c>
    </row>
    <row r="373" spans="1:6" ht="16.5" customHeight="1">
      <c r="A373" t="s">
        <v>137</v>
      </c>
      <c r="B373" s="2">
        <v>45</v>
      </c>
      <c r="C373" s="9" t="s">
        <v>8</v>
      </c>
      <c r="D373" s="2">
        <v>9257137</v>
      </c>
      <c r="E373" s="3" t="str">
        <f>IF($D373="","",VLOOKUP($D373,기준표!$B$4:$C$12,2,TRUE()))</f>
        <v>9단계</v>
      </c>
      <c r="F373" s="1" t="s">
        <v>119</v>
      </c>
    </row>
    <row r="374" spans="1:6" ht="16.5" customHeight="1">
      <c r="A374" t="s">
        <v>137</v>
      </c>
      <c r="B374" s="2">
        <v>46</v>
      </c>
      <c r="C374" s="9" t="s">
        <v>100</v>
      </c>
      <c r="D374" s="2">
        <v>9172250</v>
      </c>
      <c r="E374" s="3" t="str">
        <f>IF($D374="","",VLOOKUP($D374,기준표!$B$4:$C$12,2,TRUE()))</f>
        <v>9단계</v>
      </c>
      <c r="F374" s="1" t="s">
        <v>119</v>
      </c>
    </row>
    <row r="375" spans="1:6" ht="16.5" customHeight="1">
      <c r="A375" t="s">
        <v>137</v>
      </c>
      <c r="B375" s="2">
        <v>47</v>
      </c>
      <c r="C375" s="9" t="s">
        <v>10</v>
      </c>
      <c r="D375" s="2">
        <v>8664783</v>
      </c>
      <c r="E375" s="3" t="str">
        <f>IF($D375="","",VLOOKUP($D375,기준표!$B$4:$C$12,2,TRUE()))</f>
        <v>9단계</v>
      </c>
      <c r="F375" s="1" t="s">
        <v>119</v>
      </c>
    </row>
    <row r="376" spans="1:6" ht="16.5" customHeight="1">
      <c r="A376" t="s">
        <v>137</v>
      </c>
      <c r="B376" s="2">
        <v>48</v>
      </c>
      <c r="C376" s="9" t="s">
        <v>80</v>
      </c>
      <c r="D376" s="2">
        <v>8482806</v>
      </c>
      <c r="E376" s="3" t="str">
        <f>IF($D376="","",VLOOKUP($D376,기준표!$B$4:$C$12,2,TRUE()))</f>
        <v>9단계</v>
      </c>
      <c r="F376" s="1" t="s">
        <v>119</v>
      </c>
    </row>
    <row r="377" spans="1:6" ht="16.5" customHeight="1">
      <c r="A377" t="s">
        <v>137</v>
      </c>
      <c r="B377" s="2">
        <v>49</v>
      </c>
      <c r="C377" s="9" t="s">
        <v>22</v>
      </c>
      <c r="D377" s="2">
        <v>8449715</v>
      </c>
      <c r="E377" s="3" t="str">
        <f>IF($D377="","",VLOOKUP($D377,기준표!$B$4:$C$12,2,TRUE()))</f>
        <v>9단계</v>
      </c>
      <c r="F377" s="1" t="s">
        <v>119</v>
      </c>
    </row>
    <row r="378" spans="1:6" ht="16.5" customHeight="1">
      <c r="A378" t="s">
        <v>137</v>
      </c>
      <c r="B378" s="2">
        <v>50</v>
      </c>
      <c r="C378" s="9" t="s">
        <v>83</v>
      </c>
      <c r="D378" s="2">
        <v>8167774</v>
      </c>
      <c r="E378" s="3" t="str">
        <f>IF($D378="","",VLOOKUP($D378,기준표!$B$4:$C$12,2,TRUE()))</f>
        <v>9단계</v>
      </c>
      <c r="F378" s="1" t="s">
        <v>119</v>
      </c>
    </row>
    <row r="379" spans="1:6" ht="16.5" customHeight="1">
      <c r="A379" t="s">
        <v>137</v>
      </c>
      <c r="B379" s="2">
        <v>51</v>
      </c>
      <c r="C379" s="9" t="s">
        <v>92</v>
      </c>
      <c r="D379" s="2">
        <v>7379637</v>
      </c>
      <c r="E379" s="3" t="str">
        <f>IF($D379="","",VLOOKUP($D379,기준표!$B$4:$C$12,2,TRUE()))</f>
        <v>9단계</v>
      </c>
      <c r="F379" s="1" t="s">
        <v>119</v>
      </c>
    </row>
    <row r="380" spans="1:6" ht="16.5" customHeight="1">
      <c r="A380" t="s">
        <v>137</v>
      </c>
      <c r="B380" s="2">
        <v>52</v>
      </c>
      <c r="C380" s="9" t="s">
        <v>106</v>
      </c>
      <c r="D380" s="2">
        <v>7351478</v>
      </c>
      <c r="E380" s="3" t="str">
        <f>IF($D380="","",VLOOKUP($D380,기준표!$B$4:$C$12,2,TRUE()))</f>
        <v>9단계</v>
      </c>
      <c r="F380" s="1" t="s">
        <v>119</v>
      </c>
    </row>
    <row r="381" spans="1:6" ht="16.5" customHeight="1">
      <c r="A381" t="s">
        <v>137</v>
      </c>
      <c r="B381" s="2">
        <v>53</v>
      </c>
      <c r="C381" s="9" t="s">
        <v>58</v>
      </c>
      <c r="D381" s="2">
        <v>6388100</v>
      </c>
      <c r="E381" s="3" t="str">
        <f>IF($D381="","",VLOOKUP($D381,기준표!$B$4:$C$12,2,TRUE()))</f>
        <v>8단계</v>
      </c>
      <c r="F381" s="1" t="s">
        <v>119</v>
      </c>
    </row>
    <row r="382" spans="1:6" ht="16.5" customHeight="1">
      <c r="A382" t="s">
        <v>137</v>
      </c>
      <c r="B382" s="2">
        <v>54</v>
      </c>
      <c r="C382" s="9" t="s">
        <v>105</v>
      </c>
      <c r="D382" s="2">
        <v>6032072</v>
      </c>
      <c r="E382" s="3" t="str">
        <f>IF($D382="","",VLOOKUP($D382,기준표!$B$4:$C$12,2,TRUE()))</f>
        <v>8단계</v>
      </c>
      <c r="F382" s="1" t="s">
        <v>119</v>
      </c>
    </row>
    <row r="383" spans="1:6" ht="16.5" customHeight="1">
      <c r="A383" t="s">
        <v>137</v>
      </c>
      <c r="B383" s="2">
        <v>55</v>
      </c>
      <c r="C383" s="9" t="s">
        <v>121</v>
      </c>
      <c r="D383" s="2">
        <v>5593709</v>
      </c>
      <c r="E383" s="3" t="str">
        <f>IF($D383="","",VLOOKUP($D383,기준표!$B$4:$C$12,2,TRUE()))</f>
        <v>8단계</v>
      </c>
      <c r="F383" s="1" t="s">
        <v>119</v>
      </c>
    </row>
    <row r="384" spans="1:6" ht="16.5" customHeight="1">
      <c r="A384" t="s">
        <v>137</v>
      </c>
      <c r="B384" s="2">
        <v>56</v>
      </c>
      <c r="C384" s="9" t="s">
        <v>88</v>
      </c>
      <c r="D384" s="2">
        <v>4942793</v>
      </c>
      <c r="E384" s="3" t="str">
        <f>IF($D384="","",VLOOKUP($D384,기준표!$B$4:$C$12,2,TRUE()))</f>
        <v>8단계</v>
      </c>
      <c r="F384" s="1" t="s">
        <v>119</v>
      </c>
    </row>
    <row r="385" spans="1:6" ht="16.5" customHeight="1">
      <c r="A385" t="s">
        <v>137</v>
      </c>
      <c r="B385" s="2">
        <v>57</v>
      </c>
      <c r="C385" s="8" t="s">
        <v>110</v>
      </c>
      <c r="D385" s="2">
        <v>4587543</v>
      </c>
      <c r="E385" s="3" t="str">
        <f>IF($D385="","",VLOOKUP($D385,기준표!$B$4:$C$12,2,TRUE()))</f>
        <v>8단계</v>
      </c>
      <c r="F385" s="1" t="s">
        <v>119</v>
      </c>
    </row>
    <row r="386" spans="1:6" ht="16.5" customHeight="1">
      <c r="A386" t="s">
        <v>137</v>
      </c>
      <c r="B386" s="2">
        <v>58</v>
      </c>
      <c r="C386" s="9" t="s">
        <v>96</v>
      </c>
      <c r="D386" s="2">
        <v>4012455</v>
      </c>
      <c r="E386" s="3" t="str">
        <f>IF($D386="","",VLOOKUP($D386,기준표!$B$4:$C$12,2,TRUE()))</f>
        <v>8단계</v>
      </c>
      <c r="F386" s="1" t="s">
        <v>119</v>
      </c>
    </row>
    <row r="387" spans="1:6" ht="16.5" customHeight="1">
      <c r="A387" t="s">
        <v>137</v>
      </c>
      <c r="B387" s="2">
        <v>59</v>
      </c>
      <c r="C387" s="9" t="s">
        <v>104</v>
      </c>
      <c r="D387" s="2">
        <v>3613479</v>
      </c>
      <c r="E387" s="3" t="str">
        <f>IF($D387="","",VLOOKUP($D387,기준표!$B$4:$C$12,2,TRUE()))</f>
        <v>8단계</v>
      </c>
      <c r="F387" s="1" t="s">
        <v>119</v>
      </c>
    </row>
    <row r="388" spans="1:6" ht="16.5" customHeight="1">
      <c r="A388" t="s">
        <v>137</v>
      </c>
      <c r="B388" s="2">
        <v>60</v>
      </c>
      <c r="C388" s="9" t="s">
        <v>102</v>
      </c>
      <c r="D388" s="2">
        <v>2363818</v>
      </c>
      <c r="E388" s="3" t="str">
        <f>IF($D388="","",VLOOKUP($D388,기준표!$B$4:$C$12,2,TRUE()))</f>
        <v>7단계</v>
      </c>
      <c r="F388" s="1" t="s">
        <v>119</v>
      </c>
    </row>
    <row r="389" spans="1:6" ht="16.5" customHeight="1">
      <c r="A389" t="s">
        <v>137</v>
      </c>
      <c r="B389" s="2">
        <v>61</v>
      </c>
      <c r="C389" s="9" t="s">
        <v>99</v>
      </c>
      <c r="D389" s="2">
        <v>2307050</v>
      </c>
      <c r="E389" s="3" t="str">
        <f>IF($D389="","",VLOOKUP($D389,기준표!$B$4:$C$12,2,TRUE()))</f>
        <v>7단계</v>
      </c>
      <c r="F389" s="1" t="s">
        <v>119</v>
      </c>
    </row>
    <row r="390" spans="1:6" ht="16.5" customHeight="1">
      <c r="A390" t="s">
        <v>137</v>
      </c>
      <c r="B390" s="2">
        <v>62</v>
      </c>
      <c r="C390" s="9" t="s">
        <v>109</v>
      </c>
      <c r="D390" s="2">
        <v>2215136</v>
      </c>
      <c r="E390" s="3" t="str">
        <f>IF($D390="","",VLOOKUP($D390,기준표!$B$4:$C$12,2,TRUE()))</f>
        <v>6단계</v>
      </c>
      <c r="F390" s="1" t="s">
        <v>119</v>
      </c>
    </row>
    <row r="391" spans="1:6" ht="16.5" customHeight="1">
      <c r="A391" t="s">
        <v>137</v>
      </c>
      <c r="B391" s="2">
        <v>63</v>
      </c>
      <c r="C391" s="9" t="s">
        <v>103</v>
      </c>
      <c r="D391" s="2">
        <v>2185908</v>
      </c>
      <c r="E391" s="3" t="str">
        <f>IF($D391="","",VLOOKUP($D391,기준표!$B$4:$C$12,2,TRUE()))</f>
        <v>6단계</v>
      </c>
      <c r="F391" s="1" t="s">
        <v>119</v>
      </c>
    </row>
    <row r="392" spans="1:6" ht="16.5" customHeight="1">
      <c r="A392" t="s">
        <v>137</v>
      </c>
      <c r="B392" s="2">
        <v>64</v>
      </c>
      <c r="C392" s="9" t="s">
        <v>135</v>
      </c>
      <c r="D392" s="2">
        <v>1109775</v>
      </c>
      <c r="E392" s="3" t="str">
        <f>IF($D392="","",VLOOKUP($D392,기준표!$B$4:$C$12,2,TRUE()))</f>
        <v>6단계</v>
      </c>
      <c r="F392" s="1" t="s">
        <v>119</v>
      </c>
    </row>
    <row r="393" spans="1:6" ht="16.5" customHeight="1">
      <c r="A393" t="s">
        <v>137</v>
      </c>
      <c r="B393" s="2">
        <v>65</v>
      </c>
      <c r="C393" s="9" t="s">
        <v>101</v>
      </c>
      <c r="D393" s="2">
        <v>999218</v>
      </c>
      <c r="E393" s="3" t="str">
        <f>IF($D393="","",VLOOKUP($D393,기준표!$B$4:$C$12,2,TRUE()))</f>
        <v>5단계</v>
      </c>
      <c r="F393" s="1" t="s">
        <v>119</v>
      </c>
    </row>
    <row r="394" spans="1:6" ht="16.5" customHeight="1">
      <c r="A394" t="s">
        <v>137</v>
      </c>
      <c r="B394" s="2">
        <v>66</v>
      </c>
      <c r="C394" s="9" t="s">
        <v>113</v>
      </c>
      <c r="D394" s="2">
        <v>845000</v>
      </c>
      <c r="E394" s="3" t="str">
        <f>IF($D394="","",VLOOKUP($D394,기준표!$B$4:$C$12,2,TRUE()))</f>
        <v>5단계</v>
      </c>
      <c r="F394" s="1" t="s">
        <v>119</v>
      </c>
    </row>
    <row r="395" spans="1:6" ht="16.5" customHeight="1">
      <c r="A395" t="s">
        <v>137</v>
      </c>
      <c r="B395" s="2">
        <v>67</v>
      </c>
      <c r="C395" s="1" t="s">
        <v>111</v>
      </c>
      <c r="D395" s="2">
        <v>364314</v>
      </c>
      <c r="E395" s="3" t="str">
        <f>IF($D395="","",VLOOKUP($D395,기준표!$B$4:$C$12,2,TRUE()))</f>
        <v>3단계</v>
      </c>
      <c r="F395" s="1" t="s">
        <v>119</v>
      </c>
    </row>
    <row r="396" spans="1:6" ht="16.5" customHeight="1">
      <c r="A396" t="s">
        <v>138</v>
      </c>
      <c r="B396" s="2">
        <v>1</v>
      </c>
      <c r="C396" s="1" t="s">
        <v>51</v>
      </c>
      <c r="D396" s="2">
        <v>15645750</v>
      </c>
      <c r="E396" s="3" t="str">
        <f>IF($D396="","",VLOOKUP($D396,기준표!$B$4:$C$12,2,TRUE()))</f>
        <v>9단계</v>
      </c>
      <c r="F396" s="1" t="s">
        <v>119</v>
      </c>
    </row>
    <row r="397" spans="1:6" ht="16.5" customHeight="1">
      <c r="A397" t="s">
        <v>138</v>
      </c>
      <c r="B397" s="2">
        <v>2</v>
      </c>
      <c r="C397" t="s">
        <v>57</v>
      </c>
      <c r="D397" s="2">
        <v>13978410</v>
      </c>
      <c r="E397" s="3" t="str">
        <f>IF($D397="","",VLOOKUP($D397,기준표!$B$4:$C$12,2,TRUE()))</f>
        <v>9단계</v>
      </c>
      <c r="F397" s="1" t="s">
        <v>119</v>
      </c>
    </row>
    <row r="398" spans="1:6" ht="16.5" customHeight="1">
      <c r="A398" t="s">
        <v>138</v>
      </c>
      <c r="B398" s="2">
        <v>3</v>
      </c>
      <c r="C398" s="1" t="s">
        <v>2</v>
      </c>
      <c r="D398" s="2">
        <v>13088206</v>
      </c>
      <c r="E398" s="3" t="str">
        <f>IF($D398="","",VLOOKUP($D398,기준표!$B$4:$C$12,2,TRUE()))</f>
        <v>9단계</v>
      </c>
      <c r="F398" s="1" t="s">
        <v>119</v>
      </c>
    </row>
    <row r="399" spans="1:6" ht="16.5" customHeight="1">
      <c r="A399" t="s">
        <v>138</v>
      </c>
      <c r="B399" s="2">
        <v>4</v>
      </c>
      <c r="C399" s="1" t="s">
        <v>65</v>
      </c>
      <c r="D399" s="2">
        <v>12744509</v>
      </c>
      <c r="E399" s="3" t="str">
        <f>IF($D399="","",VLOOKUP($D399,기준표!$B$4:$C$12,2,TRUE()))</f>
        <v>9단계</v>
      </c>
      <c r="F399" s="1" t="s">
        <v>119</v>
      </c>
    </row>
    <row r="400" spans="1:6" ht="16.5" customHeight="1">
      <c r="A400" t="s">
        <v>138</v>
      </c>
      <c r="B400" s="2">
        <v>5</v>
      </c>
      <c r="C400" s="1" t="s">
        <v>64</v>
      </c>
      <c r="D400" s="2">
        <v>11777730</v>
      </c>
      <c r="E400" s="3" t="str">
        <f>IF($D400="","",VLOOKUP($D400,기준표!$B$4:$C$12,2,TRUE()))</f>
        <v>9단계</v>
      </c>
      <c r="F400" s="1" t="s">
        <v>119</v>
      </c>
    </row>
    <row r="401" spans="1:6" ht="16.5" customHeight="1">
      <c r="A401" t="s">
        <v>138</v>
      </c>
      <c r="B401" s="2">
        <v>6</v>
      </c>
      <c r="C401" s="1" t="s">
        <v>118</v>
      </c>
      <c r="D401" s="2">
        <v>11191350</v>
      </c>
      <c r="E401" s="3" t="str">
        <f>IF($D401="","",VLOOKUP($D401,기준표!$B$4:$C$12,2,TRUE()))</f>
        <v>9단계</v>
      </c>
      <c r="F401" s="1" t="s">
        <v>119</v>
      </c>
    </row>
    <row r="402" spans="1:6" ht="16.5" customHeight="1">
      <c r="A402" t="s">
        <v>138</v>
      </c>
      <c r="B402" s="2">
        <v>7</v>
      </c>
      <c r="C402" s="1" t="s">
        <v>73</v>
      </c>
      <c r="D402" s="2">
        <v>10909500</v>
      </c>
      <c r="E402" s="3" t="str">
        <f>IF($D402="","",VLOOKUP($D402,기준표!$B$4:$C$12,2,TRUE()))</f>
        <v>9단계</v>
      </c>
      <c r="F402" s="1" t="s">
        <v>119</v>
      </c>
    </row>
    <row r="403" spans="1:6" ht="16.5" customHeight="1">
      <c r="A403" t="s">
        <v>138</v>
      </c>
      <c r="B403" s="2">
        <v>8</v>
      </c>
      <c r="C403" s="1" t="s">
        <v>124</v>
      </c>
      <c r="D403" s="2">
        <v>10720108</v>
      </c>
      <c r="E403" s="3" t="str">
        <f>IF($D403="","",VLOOKUP($D403,기준표!$B$4:$C$12,2,TRUE()))</f>
        <v>9단계</v>
      </c>
      <c r="F403" s="1" t="s">
        <v>119</v>
      </c>
    </row>
    <row r="404" spans="1:6" ht="16.5" customHeight="1">
      <c r="A404" t="s">
        <v>138</v>
      </c>
      <c r="B404" s="2">
        <v>9</v>
      </c>
      <c r="C404" s="1" t="s">
        <v>4</v>
      </c>
      <c r="D404" s="2">
        <v>10500995</v>
      </c>
      <c r="E404" s="3" t="str">
        <f>IF($D404="","",VLOOKUP($D404,기준표!$B$4:$C$12,2,TRUE()))</f>
        <v>9단계</v>
      </c>
      <c r="F404" s="1" t="s">
        <v>119</v>
      </c>
    </row>
    <row r="405" spans="1:6" ht="16.5" customHeight="1">
      <c r="A405" t="s">
        <v>138</v>
      </c>
      <c r="B405" s="2">
        <v>10</v>
      </c>
      <c r="C405" s="1" t="s">
        <v>61</v>
      </c>
      <c r="D405" s="2">
        <v>10489590</v>
      </c>
      <c r="E405" s="3" t="str">
        <f>IF($D405="","",VLOOKUP($D405,기준표!$B$4:$C$12,2,TRUE()))</f>
        <v>9단계</v>
      </c>
      <c r="F405" s="1" t="s">
        <v>119</v>
      </c>
    </row>
    <row r="406" spans="1:6" ht="16.5" customHeight="1">
      <c r="A406" t="s">
        <v>138</v>
      </c>
      <c r="B406" s="2">
        <v>11</v>
      </c>
      <c r="C406" s="1" t="s">
        <v>56</v>
      </c>
      <c r="D406" s="2">
        <v>10320090</v>
      </c>
      <c r="E406" s="3" t="str">
        <f>IF($D406="","",VLOOKUP($D406,기준표!$B$4:$C$12,2,TRUE()))</f>
        <v>9단계</v>
      </c>
      <c r="F406" s="1" t="s">
        <v>119</v>
      </c>
    </row>
    <row r="407" spans="1:6" ht="16.5" customHeight="1">
      <c r="A407" t="s">
        <v>138</v>
      </c>
      <c r="B407" s="2">
        <v>12</v>
      </c>
      <c r="C407" s="1" t="s">
        <v>131</v>
      </c>
      <c r="D407" s="2">
        <v>9391223</v>
      </c>
      <c r="E407" s="3" t="str">
        <f>IF($D407="","",VLOOKUP($D407,기준표!$B$4:$C$12,2,TRUE()))</f>
        <v>9단계</v>
      </c>
      <c r="F407" s="1" t="s">
        <v>119</v>
      </c>
    </row>
    <row r="408" spans="1:6" ht="16.5" customHeight="1">
      <c r="A408" t="s">
        <v>138</v>
      </c>
      <c r="B408" s="2">
        <v>13</v>
      </c>
      <c r="C408" s="1" t="s">
        <v>54</v>
      </c>
      <c r="D408" s="2">
        <v>9042210</v>
      </c>
      <c r="E408" s="3" t="str">
        <f>IF($D408="","",VLOOKUP($D408,기준표!$B$4:$C$12,2,TRUE()))</f>
        <v>9단계</v>
      </c>
      <c r="F408" s="1" t="s">
        <v>119</v>
      </c>
    </row>
    <row r="409" spans="1:6" ht="16.5" customHeight="1">
      <c r="A409" t="s">
        <v>138</v>
      </c>
      <c r="B409" s="2">
        <v>14</v>
      </c>
      <c r="C409" s="1" t="s">
        <v>8</v>
      </c>
      <c r="D409" s="2">
        <v>8691306</v>
      </c>
      <c r="E409" s="3" t="str">
        <f>IF($D409="","",VLOOKUP($D409,기준표!$B$4:$C$12,2,TRUE()))</f>
        <v>9단계</v>
      </c>
      <c r="F409" s="1" t="s">
        <v>119</v>
      </c>
    </row>
    <row r="410" spans="1:6" ht="16.5" customHeight="1">
      <c r="A410" t="s">
        <v>138</v>
      </c>
      <c r="B410" s="2">
        <v>15</v>
      </c>
      <c r="C410" s="1" t="s">
        <v>20</v>
      </c>
      <c r="D410" s="2">
        <v>8350410</v>
      </c>
      <c r="E410" s="3" t="str">
        <f>IF($D410="","",VLOOKUP($D410,기준표!$B$4:$C$12,2,TRUE()))</f>
        <v>9단계</v>
      </c>
      <c r="F410" s="1" t="s">
        <v>119</v>
      </c>
    </row>
    <row r="411" spans="1:6" ht="16.5" customHeight="1">
      <c r="A411" t="s">
        <v>138</v>
      </c>
      <c r="B411" s="2">
        <v>16</v>
      </c>
      <c r="C411" s="1" t="s">
        <v>74</v>
      </c>
      <c r="D411" s="2">
        <v>8286570</v>
      </c>
      <c r="E411" s="3" t="str">
        <f>IF($D411="","",VLOOKUP($D411,기준표!$B$4:$C$12,2,TRUE()))</f>
        <v>9단계</v>
      </c>
      <c r="F411" s="1" t="s">
        <v>119</v>
      </c>
    </row>
    <row r="412" spans="1:6" ht="16.5" customHeight="1">
      <c r="A412" t="s">
        <v>138</v>
      </c>
      <c r="B412" s="2">
        <v>17</v>
      </c>
      <c r="C412" s="1" t="s">
        <v>82</v>
      </c>
      <c r="D412" s="2">
        <v>8219625</v>
      </c>
      <c r="E412" s="3" t="str">
        <f>IF($D412="","",VLOOKUP($D412,기준표!$B$4:$C$12,2,TRUE()))</f>
        <v>9단계</v>
      </c>
      <c r="F412" s="1" t="s">
        <v>119</v>
      </c>
    </row>
    <row r="413" spans="1:6" ht="16.5" customHeight="1">
      <c r="A413" t="s">
        <v>138</v>
      </c>
      <c r="B413" s="2">
        <v>18</v>
      </c>
      <c r="C413" s="1" t="s">
        <v>84</v>
      </c>
      <c r="D413" s="2">
        <v>8111520</v>
      </c>
      <c r="E413" s="3" t="str">
        <f>IF($D413="","",VLOOKUP($D413,기준표!$B$4:$C$12,2,TRUE()))</f>
        <v>9단계</v>
      </c>
      <c r="F413" s="1" t="s">
        <v>119</v>
      </c>
    </row>
    <row r="414" spans="1:6" ht="16.5" customHeight="1">
      <c r="A414" t="s">
        <v>138</v>
      </c>
      <c r="B414" s="2">
        <v>19</v>
      </c>
      <c r="C414" s="1" t="s">
        <v>123</v>
      </c>
      <c r="D414" s="2">
        <v>8105430</v>
      </c>
      <c r="E414" s="3" t="str">
        <f>IF($D414="","",VLOOKUP($D414,기준표!$B$4:$C$12,2,TRUE()))</f>
        <v>9단계</v>
      </c>
      <c r="F414" s="1" t="s">
        <v>119</v>
      </c>
    </row>
    <row r="415" spans="1:6" ht="16.5" customHeight="1">
      <c r="A415" t="s">
        <v>138</v>
      </c>
      <c r="B415" s="2">
        <v>20</v>
      </c>
      <c r="C415" s="1" t="s">
        <v>126</v>
      </c>
      <c r="D415" s="2">
        <v>7975410</v>
      </c>
      <c r="E415" s="3" t="str">
        <f>IF($D415="","",VLOOKUP($D415,기준표!$B$4:$C$12,2,TRUE()))</f>
        <v>9단계</v>
      </c>
      <c r="F415" s="1" t="s">
        <v>119</v>
      </c>
    </row>
    <row r="416" spans="1:6" ht="16.5" customHeight="1">
      <c r="A416" t="s">
        <v>138</v>
      </c>
      <c r="B416" s="2">
        <v>21</v>
      </c>
      <c r="C416" s="1" t="s">
        <v>67</v>
      </c>
      <c r="D416" s="2">
        <v>7852200</v>
      </c>
      <c r="E416" s="3" t="str">
        <f>IF($D416="","",VLOOKUP($D416,기준표!$B$4:$C$12,2,TRUE()))</f>
        <v>9단계</v>
      </c>
      <c r="F416" s="1" t="s">
        <v>119</v>
      </c>
    </row>
    <row r="417" spans="1:6" ht="16.5" customHeight="1">
      <c r="A417" t="s">
        <v>138</v>
      </c>
      <c r="B417" s="2">
        <v>22</v>
      </c>
      <c r="C417" s="1" t="s">
        <v>120</v>
      </c>
      <c r="D417" s="2">
        <v>7715220</v>
      </c>
      <c r="E417" s="3" t="str">
        <f>IF($D417="","",VLOOKUP($D417,기준표!$B$4:$C$12,2,TRUE()))</f>
        <v>9단계</v>
      </c>
      <c r="F417" s="1" t="s">
        <v>119</v>
      </c>
    </row>
    <row r="418" spans="1:6" ht="16.5" customHeight="1">
      <c r="A418" t="s">
        <v>138</v>
      </c>
      <c r="B418" s="2">
        <v>23</v>
      </c>
      <c r="C418" s="1" t="s">
        <v>62</v>
      </c>
      <c r="D418" s="2">
        <v>7610714</v>
      </c>
      <c r="E418" s="3" t="str">
        <f>IF($D418="","",VLOOKUP($D418,기준표!$B$4:$C$12,2,TRUE()))</f>
        <v>9단계</v>
      </c>
      <c r="F418" s="1" t="s">
        <v>119</v>
      </c>
    </row>
    <row r="419" spans="1:6" ht="16.5" customHeight="1">
      <c r="A419" t="s">
        <v>138</v>
      </c>
      <c r="B419" s="2">
        <v>24</v>
      </c>
      <c r="C419" s="1" t="s">
        <v>63</v>
      </c>
      <c r="D419" s="2">
        <v>7602658</v>
      </c>
      <c r="E419" s="3" t="str">
        <f>IF($D419="","",VLOOKUP($D419,기준표!$B$4:$C$12,2,TRUE()))</f>
        <v>9단계</v>
      </c>
      <c r="F419" s="1" t="s">
        <v>119</v>
      </c>
    </row>
    <row r="420" spans="1:6" ht="16.5" customHeight="1">
      <c r="A420" t="s">
        <v>138</v>
      </c>
      <c r="B420" s="2">
        <v>25</v>
      </c>
      <c r="C420" s="1" t="s">
        <v>122</v>
      </c>
      <c r="D420" s="2">
        <v>7503696</v>
      </c>
      <c r="E420" s="3" t="str">
        <f>IF($D420="","",VLOOKUP($D420,기준표!$B$4:$C$12,2,TRUE()))</f>
        <v>9단계</v>
      </c>
      <c r="F420" s="1" t="s">
        <v>119</v>
      </c>
    </row>
    <row r="421" spans="1:6" ht="16.5" customHeight="1">
      <c r="A421" t="s">
        <v>138</v>
      </c>
      <c r="B421" s="2">
        <v>26</v>
      </c>
      <c r="C421" s="1" t="s">
        <v>128</v>
      </c>
      <c r="D421" s="2">
        <v>7449306</v>
      </c>
      <c r="E421" s="3" t="str">
        <f>IF($D421="","",VLOOKUP($D421,기준표!$B$4:$C$12,2,TRUE()))</f>
        <v>9단계</v>
      </c>
      <c r="F421" s="1" t="s">
        <v>119</v>
      </c>
    </row>
    <row r="422" spans="1:6" ht="16.5" customHeight="1">
      <c r="A422" t="s">
        <v>138</v>
      </c>
      <c r="B422" s="2">
        <v>27</v>
      </c>
      <c r="C422" s="1" t="s">
        <v>60</v>
      </c>
      <c r="D422" s="2">
        <v>7398360</v>
      </c>
      <c r="E422" s="3" t="str">
        <f>IF($D422="","",VLOOKUP($D422,기준표!$B$4:$C$12,2,TRUE()))</f>
        <v>9단계</v>
      </c>
      <c r="F422" s="1" t="s">
        <v>119</v>
      </c>
    </row>
    <row r="423" spans="1:6" ht="16.5" customHeight="1">
      <c r="A423" t="s">
        <v>138</v>
      </c>
      <c r="B423" s="2">
        <v>28</v>
      </c>
      <c r="C423" s="1" t="s">
        <v>22</v>
      </c>
      <c r="D423" s="2">
        <v>7390802</v>
      </c>
      <c r="E423" s="3" t="str">
        <f>IF($D423="","",VLOOKUP($D423,기준표!$B$4:$C$12,2,TRUE()))</f>
        <v>9단계</v>
      </c>
      <c r="F423" s="1" t="s">
        <v>119</v>
      </c>
    </row>
    <row r="424" spans="1:6" ht="16.5" customHeight="1">
      <c r="A424" t="s">
        <v>138</v>
      </c>
      <c r="B424" s="2">
        <v>29</v>
      </c>
      <c r="C424" s="1" t="s">
        <v>71</v>
      </c>
      <c r="D424" s="2">
        <v>7314780</v>
      </c>
      <c r="E424" s="3" t="str">
        <f>IF($D424="","",VLOOKUP($D424,기준표!$B$4:$C$12,2,TRUE()))</f>
        <v>9단계</v>
      </c>
      <c r="F424" s="1" t="s">
        <v>119</v>
      </c>
    </row>
    <row r="425" spans="1:6" ht="16.5" customHeight="1">
      <c r="A425" t="s">
        <v>138</v>
      </c>
      <c r="B425" s="2">
        <v>30</v>
      </c>
      <c r="C425" t="s">
        <v>69</v>
      </c>
      <c r="D425" s="2">
        <v>7242120</v>
      </c>
      <c r="E425" s="3" t="str">
        <f>IF($D425="","",VLOOKUP($D425,기준표!$B$4:$C$12,2,TRUE()))</f>
        <v>9단계</v>
      </c>
      <c r="F425" s="1" t="s">
        <v>119</v>
      </c>
    </row>
    <row r="426" spans="1:6" ht="16.5" customHeight="1">
      <c r="A426" t="s">
        <v>138</v>
      </c>
      <c r="B426" s="2">
        <v>31</v>
      </c>
      <c r="C426" s="1" t="s">
        <v>121</v>
      </c>
      <c r="D426" s="2">
        <v>7227828</v>
      </c>
      <c r="E426" s="3" t="str">
        <f>IF($D426="","",VLOOKUP($D426,기준표!$B$4:$C$12,2,TRUE()))</f>
        <v>9단계</v>
      </c>
      <c r="F426" s="1" t="s">
        <v>119</v>
      </c>
    </row>
    <row r="427" spans="1:6" ht="16.5" customHeight="1">
      <c r="A427" t="s">
        <v>138</v>
      </c>
      <c r="B427" s="2">
        <v>32</v>
      </c>
      <c r="C427" s="1" t="s">
        <v>17</v>
      </c>
      <c r="D427" s="2">
        <v>7191540</v>
      </c>
      <c r="E427" s="3" t="str">
        <f>IF($D427="","",VLOOKUP($D427,기준표!$B$4:$C$12,2,TRUE()))</f>
        <v>9단계</v>
      </c>
      <c r="F427" s="1" t="s">
        <v>119</v>
      </c>
    </row>
    <row r="428" spans="1:6" ht="16.5" customHeight="1">
      <c r="A428" t="s">
        <v>138</v>
      </c>
      <c r="B428" s="2">
        <v>33</v>
      </c>
      <c r="C428" s="1" t="s">
        <v>130</v>
      </c>
      <c r="D428" s="2">
        <v>6893512</v>
      </c>
      <c r="E428" s="3" t="str">
        <f>IF($D428="","",VLOOKUP($D428,기준표!$B$4:$C$12,2,TRUE()))</f>
        <v>8단계</v>
      </c>
      <c r="F428" s="1" t="s">
        <v>119</v>
      </c>
    </row>
    <row r="429" spans="1:6" ht="16.5" customHeight="1">
      <c r="A429" t="s">
        <v>138</v>
      </c>
      <c r="B429" s="2">
        <v>34</v>
      </c>
      <c r="C429" s="1" t="s">
        <v>75</v>
      </c>
      <c r="D429" s="2">
        <v>6830397</v>
      </c>
      <c r="E429" s="3" t="str">
        <f>IF($D429="","",VLOOKUP($D429,기준표!$B$4:$C$12,2,TRUE()))</f>
        <v>8단계</v>
      </c>
      <c r="F429" s="1" t="s">
        <v>119</v>
      </c>
    </row>
    <row r="430" spans="1:6" ht="16.5" customHeight="1">
      <c r="A430" t="s">
        <v>138</v>
      </c>
      <c r="B430" s="2">
        <v>35</v>
      </c>
      <c r="C430" s="1" t="s">
        <v>136</v>
      </c>
      <c r="D430" s="2">
        <v>6123133</v>
      </c>
      <c r="E430" s="3" t="str">
        <f>IF($D430="","",VLOOKUP($D430,기준표!$B$4:$C$12,2,TRUE()))</f>
        <v>8단계</v>
      </c>
      <c r="F430" s="1" t="s">
        <v>119</v>
      </c>
    </row>
    <row r="431" spans="1:6" ht="16.5" customHeight="1">
      <c r="A431" t="s">
        <v>138</v>
      </c>
      <c r="B431" s="2">
        <v>36</v>
      </c>
      <c r="C431" s="1" t="s">
        <v>81</v>
      </c>
      <c r="D431" s="2">
        <v>5690876</v>
      </c>
      <c r="E431" s="3" t="str">
        <f>IF($D431="","",VLOOKUP($D431,기준표!$B$4:$C$12,2,TRUE()))</f>
        <v>8단계</v>
      </c>
      <c r="F431" s="1" t="s">
        <v>119</v>
      </c>
    </row>
    <row r="432" spans="1:6" ht="16.5" customHeight="1">
      <c r="A432" t="s">
        <v>138</v>
      </c>
      <c r="B432" s="2">
        <v>37</v>
      </c>
      <c r="C432" s="1" t="s">
        <v>86</v>
      </c>
      <c r="D432" s="2">
        <v>5540207</v>
      </c>
      <c r="E432" s="3" t="str">
        <f>IF($D432="","",VLOOKUP($D432,기준표!$B$4:$C$12,2,TRUE()))</f>
        <v>8단계</v>
      </c>
      <c r="F432" s="1" t="s">
        <v>119</v>
      </c>
    </row>
    <row r="433" spans="1:6" ht="16.5" customHeight="1">
      <c r="A433" t="s">
        <v>138</v>
      </c>
      <c r="B433" s="2">
        <v>38</v>
      </c>
      <c r="C433" s="1" t="s">
        <v>129</v>
      </c>
      <c r="D433" s="2">
        <v>5079780</v>
      </c>
      <c r="E433" s="3" t="str">
        <f>IF($D433="","",VLOOKUP($D433,기준표!$B$4:$C$12,2,TRUE()))</f>
        <v>8단계</v>
      </c>
      <c r="F433" s="1" t="s">
        <v>119</v>
      </c>
    </row>
    <row r="434" spans="1:6" ht="16.5" customHeight="1">
      <c r="A434" t="s">
        <v>138</v>
      </c>
      <c r="B434" s="2">
        <v>39</v>
      </c>
      <c r="C434" s="1" t="s">
        <v>83</v>
      </c>
      <c r="D434" s="2">
        <v>4997779</v>
      </c>
      <c r="E434" s="3" t="str">
        <f>IF($D434="","",VLOOKUP($D434,기준표!$B$4:$C$12,2,TRUE()))</f>
        <v>8단계</v>
      </c>
      <c r="F434" s="1" t="s">
        <v>119</v>
      </c>
    </row>
    <row r="435" spans="1:6" ht="16.5" customHeight="1">
      <c r="A435" t="s">
        <v>138</v>
      </c>
      <c r="B435" s="2">
        <v>40</v>
      </c>
      <c r="C435" s="1" t="s">
        <v>90</v>
      </c>
      <c r="D435" s="2">
        <v>4937750</v>
      </c>
      <c r="E435" s="3" t="str">
        <f>IF($D435="","",VLOOKUP($D435,기준표!$B$4:$C$12,2,TRUE()))</f>
        <v>8단계</v>
      </c>
      <c r="F435" s="1" t="s">
        <v>119</v>
      </c>
    </row>
    <row r="436" spans="1:6" ht="16.5" customHeight="1">
      <c r="A436" t="s">
        <v>138</v>
      </c>
      <c r="B436" s="2">
        <v>41</v>
      </c>
      <c r="C436" s="1" t="s">
        <v>79</v>
      </c>
      <c r="D436" s="2">
        <v>4896569</v>
      </c>
      <c r="E436" s="3" t="str">
        <f>IF($D436="","",VLOOKUP($D436,기준표!$B$4:$C$12,2,TRUE()))</f>
        <v>8단계</v>
      </c>
      <c r="F436" s="1" t="s">
        <v>119</v>
      </c>
    </row>
    <row r="437" spans="1:6" ht="16.5" customHeight="1">
      <c r="A437" t="s">
        <v>138</v>
      </c>
      <c r="B437" s="2">
        <v>42</v>
      </c>
      <c r="C437" s="1" t="s">
        <v>93</v>
      </c>
      <c r="D437" s="2">
        <v>4585763</v>
      </c>
      <c r="E437" s="3" t="str">
        <f>IF($D437="","",VLOOKUP($D437,기준표!$B$4:$C$12,2,TRUE()))</f>
        <v>8단계</v>
      </c>
      <c r="F437" s="1" t="s">
        <v>119</v>
      </c>
    </row>
    <row r="438" spans="1:6" ht="16.5" customHeight="1">
      <c r="A438" t="s">
        <v>138</v>
      </c>
      <c r="B438" s="2">
        <v>43</v>
      </c>
      <c r="C438" s="1" t="s">
        <v>105</v>
      </c>
      <c r="D438" s="2">
        <v>4520490</v>
      </c>
      <c r="E438" s="3" t="str">
        <f>IF($D438="","",VLOOKUP($D438,기준표!$B$4:$C$12,2,TRUE()))</f>
        <v>8단계</v>
      </c>
      <c r="F438" s="1" t="s">
        <v>119</v>
      </c>
    </row>
    <row r="439" spans="1:6" ht="16.5" customHeight="1">
      <c r="A439" t="s">
        <v>138</v>
      </c>
      <c r="B439" s="2">
        <v>44</v>
      </c>
      <c r="C439" s="1" t="s">
        <v>106</v>
      </c>
      <c r="D439" s="2">
        <v>4472197</v>
      </c>
      <c r="E439" s="3" t="str">
        <f>IF($D439="","",VLOOKUP($D439,기준표!$B$4:$C$12,2,TRUE()))</f>
        <v>8단계</v>
      </c>
      <c r="F439" s="1" t="s">
        <v>119</v>
      </c>
    </row>
    <row r="440" spans="1:6" ht="16.5" customHeight="1">
      <c r="A440" t="s">
        <v>138</v>
      </c>
      <c r="B440" s="2">
        <v>45</v>
      </c>
      <c r="C440" s="1" t="s">
        <v>78</v>
      </c>
      <c r="D440" s="2">
        <v>4454646</v>
      </c>
      <c r="E440" s="3" t="str">
        <f>IF($D440="","",VLOOKUP($D440,기준표!$B$4:$C$12,2,TRUE()))</f>
        <v>8단계</v>
      </c>
      <c r="F440" s="1" t="s">
        <v>119</v>
      </c>
    </row>
    <row r="441" spans="1:6" ht="16.5" customHeight="1">
      <c r="A441" t="s">
        <v>138</v>
      </c>
      <c r="B441" s="2">
        <v>46</v>
      </c>
      <c r="C441" s="1" t="s">
        <v>77</v>
      </c>
      <c r="D441" s="2">
        <v>4432064</v>
      </c>
      <c r="E441" s="3" t="str">
        <f>IF($D441="","",VLOOKUP($D441,기준표!$B$4:$C$12,2,TRUE()))</f>
        <v>8단계</v>
      </c>
      <c r="F441" s="1" t="s">
        <v>119</v>
      </c>
    </row>
    <row r="442" spans="1:6" ht="16.5" customHeight="1">
      <c r="A442" t="s">
        <v>138</v>
      </c>
      <c r="B442" s="2">
        <v>47</v>
      </c>
      <c r="C442" s="1" t="s">
        <v>80</v>
      </c>
      <c r="D442" s="2">
        <v>4264172</v>
      </c>
      <c r="E442" s="3" t="str">
        <f>IF($D442="","",VLOOKUP($D442,기준표!$B$4:$C$12,2,TRUE()))</f>
        <v>8단계</v>
      </c>
      <c r="F442" s="1" t="s">
        <v>119</v>
      </c>
    </row>
    <row r="443" spans="1:6" ht="16.5" customHeight="1">
      <c r="A443" t="s">
        <v>138</v>
      </c>
      <c r="B443" s="2">
        <v>48</v>
      </c>
      <c r="C443" s="1" t="s">
        <v>92</v>
      </c>
      <c r="D443" s="2">
        <v>4118340</v>
      </c>
      <c r="E443" s="3" t="str">
        <f>IF($D443="","",VLOOKUP($D443,기준표!$B$4:$C$12,2,TRUE()))</f>
        <v>8단계</v>
      </c>
      <c r="F443" s="1" t="s">
        <v>119</v>
      </c>
    </row>
    <row r="444" spans="1:6" ht="16.5" customHeight="1">
      <c r="A444" t="s">
        <v>138</v>
      </c>
      <c r="B444" s="2">
        <v>49</v>
      </c>
      <c r="C444" s="1" t="s">
        <v>10</v>
      </c>
      <c r="D444" s="2">
        <v>3936283</v>
      </c>
      <c r="E444" s="3" t="str">
        <f>IF($D444="","",VLOOKUP($D444,기준표!$B$4:$C$12,2,TRUE()))</f>
        <v>8단계</v>
      </c>
      <c r="F444" s="1" t="s">
        <v>119</v>
      </c>
    </row>
    <row r="445" spans="1:6" ht="16.5" customHeight="1">
      <c r="A445" t="s">
        <v>138</v>
      </c>
      <c r="B445" s="2">
        <v>50</v>
      </c>
      <c r="C445" s="1" t="s">
        <v>100</v>
      </c>
      <c r="D445" s="2">
        <v>3811500</v>
      </c>
      <c r="E445" s="3" t="str">
        <f>IF($D445="","",VLOOKUP($D445,기준표!$B$4:$C$12,2,TRUE()))</f>
        <v>8단계</v>
      </c>
      <c r="F445" s="1" t="s">
        <v>119</v>
      </c>
    </row>
    <row r="446" spans="1:6" ht="16.5" customHeight="1">
      <c r="A446" t="s">
        <v>138</v>
      </c>
      <c r="B446" s="2">
        <v>51</v>
      </c>
      <c r="C446" s="1" t="s">
        <v>94</v>
      </c>
      <c r="D446" s="2">
        <v>3741493</v>
      </c>
      <c r="E446" s="3" t="str">
        <f>IF($D446="","",VLOOKUP($D446,기준표!$B$4:$C$12,2,TRUE()))</f>
        <v>8단계</v>
      </c>
      <c r="F446" s="1" t="s">
        <v>119</v>
      </c>
    </row>
    <row r="447" spans="1:6" ht="16.5" customHeight="1">
      <c r="A447" t="s">
        <v>138</v>
      </c>
      <c r="B447" s="2">
        <v>52</v>
      </c>
      <c r="C447" s="1" t="s">
        <v>96</v>
      </c>
      <c r="D447" s="2">
        <v>3713921</v>
      </c>
      <c r="E447" s="3" t="str">
        <f>IF($D447="","",VLOOKUP($D447,기준표!$B$4:$C$12,2,TRUE()))</f>
        <v>8단계</v>
      </c>
      <c r="F447" s="1" t="s">
        <v>119</v>
      </c>
    </row>
    <row r="448" spans="1:6" ht="16.5" customHeight="1">
      <c r="A448" t="s">
        <v>138</v>
      </c>
      <c r="B448" s="2">
        <v>53</v>
      </c>
      <c r="C448" s="1" t="s">
        <v>109</v>
      </c>
      <c r="D448" s="2">
        <v>3610131</v>
      </c>
      <c r="E448" s="3" t="str">
        <f>IF($D448="","",VLOOKUP($D448,기준표!$B$4:$C$12,2,TRUE()))</f>
        <v>8단계</v>
      </c>
      <c r="F448" s="1" t="s">
        <v>119</v>
      </c>
    </row>
    <row r="449" spans="1:6" ht="16.5" customHeight="1">
      <c r="A449" t="s">
        <v>138</v>
      </c>
      <c r="B449" s="2">
        <v>54</v>
      </c>
      <c r="C449" s="8">
        <v>1090</v>
      </c>
      <c r="D449" s="2">
        <v>3471939</v>
      </c>
      <c r="E449" s="3" t="str">
        <f>IF($D449="","",VLOOKUP($D449,기준표!$B$4:$C$12,2,TRUE()))</f>
        <v>8단계</v>
      </c>
      <c r="F449" s="1" t="s">
        <v>119</v>
      </c>
    </row>
    <row r="450" spans="1:6" ht="16.5" customHeight="1">
      <c r="A450" t="s">
        <v>138</v>
      </c>
      <c r="B450" s="2">
        <v>55</v>
      </c>
      <c r="C450" s="1" t="s">
        <v>104</v>
      </c>
      <c r="D450" s="2">
        <v>3449277</v>
      </c>
      <c r="E450" s="3" t="str">
        <f>IF($D450="","",VLOOKUP($D450,기준표!$B$4:$C$12,2,TRUE()))</f>
        <v>8단계</v>
      </c>
      <c r="F450" s="1" t="s">
        <v>119</v>
      </c>
    </row>
    <row r="451" spans="1:6" ht="16.5" customHeight="1">
      <c r="A451" t="s">
        <v>138</v>
      </c>
      <c r="B451" s="2">
        <v>56</v>
      </c>
      <c r="C451" s="1" t="s">
        <v>127</v>
      </c>
      <c r="D451" s="2">
        <v>3355011</v>
      </c>
      <c r="E451" s="3" t="str">
        <f>IF($D451="","",VLOOKUP($D451,기준표!$B$4:$C$12,2,TRUE()))</f>
        <v>8단계</v>
      </c>
      <c r="F451" s="1" t="s">
        <v>119</v>
      </c>
    </row>
    <row r="452" spans="1:6" ht="16.5" customHeight="1">
      <c r="A452" t="s">
        <v>138</v>
      </c>
      <c r="B452" s="2">
        <v>57</v>
      </c>
      <c r="C452" s="1" t="s">
        <v>95</v>
      </c>
      <c r="D452" s="2">
        <v>3348356</v>
      </c>
      <c r="E452" s="3" t="str">
        <f>IF($D452="","",VLOOKUP($D452,기준표!$B$4:$C$12,2,TRUE()))</f>
        <v>8단계</v>
      </c>
      <c r="F452" s="1" t="s">
        <v>119</v>
      </c>
    </row>
    <row r="453" spans="1:6" ht="16.5" customHeight="1">
      <c r="A453" t="s">
        <v>138</v>
      </c>
      <c r="B453" s="2">
        <v>58</v>
      </c>
      <c r="C453" s="1" t="s">
        <v>58</v>
      </c>
      <c r="D453" s="2">
        <v>2818744</v>
      </c>
      <c r="E453" s="3" t="str">
        <f>IF($D453="","",VLOOKUP($D453,기준표!$B$4:$C$12,2,TRUE()))</f>
        <v>8단계</v>
      </c>
      <c r="F453" s="1" t="s">
        <v>119</v>
      </c>
    </row>
    <row r="454" spans="1:6" ht="16.5" customHeight="1">
      <c r="A454" t="s">
        <v>138</v>
      </c>
      <c r="B454" s="2">
        <v>59</v>
      </c>
      <c r="C454" s="1" t="s">
        <v>99</v>
      </c>
      <c r="D454" s="2">
        <v>2676764</v>
      </c>
      <c r="E454" s="3" t="str">
        <f>IF($D454="","",VLOOKUP($D454,기준표!$B$4:$C$12,2,TRUE()))</f>
        <v>8단계</v>
      </c>
      <c r="F454" s="1" t="s">
        <v>119</v>
      </c>
    </row>
    <row r="455" spans="1:6" ht="16.5" customHeight="1">
      <c r="A455" t="s">
        <v>138</v>
      </c>
      <c r="B455" s="2">
        <v>60</v>
      </c>
      <c r="C455" s="1" t="s">
        <v>88</v>
      </c>
      <c r="D455" s="2">
        <v>2595175</v>
      </c>
      <c r="E455" s="3" t="str">
        <f>IF($D455="","",VLOOKUP($D455,기준표!$B$4:$C$12,2,TRUE()))</f>
        <v>7단계</v>
      </c>
      <c r="F455" s="1" t="s">
        <v>119</v>
      </c>
    </row>
    <row r="456" spans="1:6" ht="16.5" customHeight="1">
      <c r="A456" t="s">
        <v>138</v>
      </c>
      <c r="B456" s="2">
        <v>61</v>
      </c>
      <c r="C456" s="1" t="s">
        <v>85</v>
      </c>
      <c r="D456" s="2">
        <v>2505960</v>
      </c>
      <c r="E456" s="3" t="str">
        <f>IF($D456="","",VLOOKUP($D456,기준표!$B$4:$C$12,2,TRUE()))</f>
        <v>7단계</v>
      </c>
      <c r="F456" s="1" t="s">
        <v>119</v>
      </c>
    </row>
    <row r="457" spans="1:6" ht="16.5" customHeight="1">
      <c r="A457" t="s">
        <v>138</v>
      </c>
      <c r="B457" s="2">
        <v>62</v>
      </c>
      <c r="C457" s="1" t="s">
        <v>111</v>
      </c>
      <c r="D457" s="2">
        <v>2181924</v>
      </c>
      <c r="E457" s="3" t="str">
        <f>IF($D457="","",VLOOKUP($D457,기준표!$B$4:$C$12,2,TRUE()))</f>
        <v>6단계</v>
      </c>
      <c r="F457" s="1" t="s">
        <v>119</v>
      </c>
    </row>
    <row r="458" spans="1:6" ht="16.5" customHeight="1">
      <c r="A458" t="s">
        <v>138</v>
      </c>
      <c r="B458" s="2">
        <v>63</v>
      </c>
      <c r="C458" s="1" t="s">
        <v>103</v>
      </c>
      <c r="D458" s="2">
        <v>2020453</v>
      </c>
      <c r="E458" s="3" t="str">
        <f>IF($D458="","",VLOOKUP($D458,기준표!$B$4:$C$12,2,TRUE()))</f>
        <v>6단계</v>
      </c>
      <c r="F458" s="1" t="s">
        <v>119</v>
      </c>
    </row>
    <row r="459" spans="1:6" ht="16.5" customHeight="1">
      <c r="A459" t="s">
        <v>138</v>
      </c>
      <c r="B459" s="2">
        <v>64</v>
      </c>
      <c r="C459" s="1" t="s">
        <v>135</v>
      </c>
      <c r="D459" s="2">
        <v>1951212</v>
      </c>
      <c r="E459" s="3" t="str">
        <f>IF($D459="","",VLOOKUP($D459,기준표!$B$4:$C$12,2,TRUE()))</f>
        <v>6단계</v>
      </c>
      <c r="F459" s="1" t="s">
        <v>119</v>
      </c>
    </row>
    <row r="460" spans="1:6" ht="16.5" customHeight="1">
      <c r="A460" t="s">
        <v>138</v>
      </c>
      <c r="B460" s="2">
        <v>65</v>
      </c>
      <c r="C460" s="1" t="s">
        <v>101</v>
      </c>
      <c r="D460" s="2">
        <v>1775577</v>
      </c>
      <c r="E460" s="3" t="str">
        <f>IF($D460="","",VLOOKUP($D460,기준표!$B$4:$C$12,2,TRUE()))</f>
        <v>6단계</v>
      </c>
      <c r="F460" s="1" t="s">
        <v>119</v>
      </c>
    </row>
    <row r="461" spans="1:6" ht="16.5" customHeight="1">
      <c r="A461" t="s">
        <v>138</v>
      </c>
      <c r="B461" s="2">
        <v>66</v>
      </c>
      <c r="C461" s="1" t="s">
        <v>139</v>
      </c>
      <c r="D461" s="2">
        <v>1535970</v>
      </c>
      <c r="E461" s="3" t="str">
        <f>IF($D461="","",VLOOKUP($D461,기준표!$B$4:$C$12,2,TRUE()))</f>
        <v>6단계</v>
      </c>
      <c r="F461" s="1" t="s">
        <v>119</v>
      </c>
    </row>
    <row r="462" spans="1:6" ht="16.5" customHeight="1">
      <c r="A462" t="s">
        <v>138</v>
      </c>
      <c r="B462" s="2">
        <v>67</v>
      </c>
      <c r="C462" s="1" t="s">
        <v>113</v>
      </c>
      <c r="D462" s="2">
        <v>1235026</v>
      </c>
      <c r="E462" s="3" t="str">
        <f>IF($D462="","",VLOOKUP($D462,기준표!$B$4:$C$12,2,TRUE()))</f>
        <v>6단계</v>
      </c>
      <c r="F462" s="1" t="s">
        <v>119</v>
      </c>
    </row>
    <row r="463" spans="1:6" ht="16.5" customHeight="1">
      <c r="A463" s="10" t="s">
        <v>140</v>
      </c>
      <c r="B463" s="2" t="s">
        <v>116</v>
      </c>
      <c r="C463" s="1" t="s">
        <v>141</v>
      </c>
      <c r="D463" s="2"/>
      <c r="E463" s="3" t="str">
        <f>IF($D463="","",VLOOKUP($D463,기준표!$B$4:$C$12,2,TRUE()))</f>
        <v/>
      </c>
      <c r="F463" s="1"/>
    </row>
    <row r="464" spans="1:6" ht="16.5" customHeight="1">
      <c r="A464" s="10" t="s">
        <v>140</v>
      </c>
      <c r="B464">
        <v>1</v>
      </c>
      <c r="C464" s="1" t="s">
        <v>118</v>
      </c>
      <c r="D464">
        <v>30510199</v>
      </c>
      <c r="E464" s="3" t="str">
        <f>IF($D464="","",VLOOKUP($D464,기준표!$B$4:$C$12,2,TRUE()))</f>
        <v>9단계</v>
      </c>
      <c r="F464" s="1" t="s">
        <v>119</v>
      </c>
    </row>
    <row r="465" spans="1:6" ht="16.5" customHeight="1">
      <c r="A465" s="10" t="s">
        <v>140</v>
      </c>
      <c r="B465">
        <v>2</v>
      </c>
      <c r="C465" s="1" t="s">
        <v>17</v>
      </c>
      <c r="D465">
        <v>20829219</v>
      </c>
      <c r="E465" s="3" t="str">
        <f>IF($D465="","",VLOOKUP($D465,기준표!$B$4:$C$12,2,TRUE()))</f>
        <v>9단계</v>
      </c>
      <c r="F465" s="1" t="s">
        <v>119</v>
      </c>
    </row>
    <row r="466" spans="1:6" ht="16.5" customHeight="1">
      <c r="A466" s="10" t="s">
        <v>140</v>
      </c>
      <c r="B466">
        <v>3</v>
      </c>
      <c r="C466" s="1" t="s">
        <v>64</v>
      </c>
      <c r="D466">
        <v>20607161</v>
      </c>
      <c r="E466" s="3" t="str">
        <f>IF($D466="","",VLOOKUP($D466,기준표!$B$4:$C$12,2,TRUE()))</f>
        <v>9단계</v>
      </c>
      <c r="F466" s="1" t="s">
        <v>119</v>
      </c>
    </row>
    <row r="467" spans="1:6" ht="16.5" customHeight="1">
      <c r="A467" s="10" t="s">
        <v>140</v>
      </c>
      <c r="B467">
        <v>4</v>
      </c>
      <c r="C467" s="1" t="s">
        <v>71</v>
      </c>
      <c r="D467">
        <v>19287908</v>
      </c>
      <c r="E467" s="3" t="str">
        <f>IF($D467="","",VLOOKUP($D467,기준표!$B$4:$C$12,2,TRUE()))</f>
        <v>9단계</v>
      </c>
      <c r="F467" s="1" t="s">
        <v>119</v>
      </c>
    </row>
    <row r="468" spans="1:6" ht="16.5" customHeight="1">
      <c r="A468" s="10" t="s">
        <v>140</v>
      </c>
      <c r="B468">
        <v>5</v>
      </c>
      <c r="C468" s="1" t="s">
        <v>73</v>
      </c>
      <c r="D468">
        <v>18918745</v>
      </c>
      <c r="E468" s="3" t="str">
        <f>IF($D468="","",VLOOKUP($D468,기준표!$B$4:$C$12,2,TRUE()))</f>
        <v>9단계</v>
      </c>
      <c r="F468" s="1" t="s">
        <v>119</v>
      </c>
    </row>
    <row r="469" spans="1:6" ht="16.5" customHeight="1">
      <c r="A469" s="10" t="s">
        <v>140</v>
      </c>
      <c r="B469">
        <v>6</v>
      </c>
      <c r="C469" s="1" t="s">
        <v>4</v>
      </c>
      <c r="D469">
        <v>18656955</v>
      </c>
      <c r="E469" s="3" t="str">
        <f>IF($D469="","",VLOOKUP($D469,기준표!$B$4:$C$12,2,TRUE()))</f>
        <v>9단계</v>
      </c>
      <c r="F469" s="1" t="s">
        <v>119</v>
      </c>
    </row>
    <row r="470" spans="1:6" ht="16.5" customHeight="1">
      <c r="A470" s="10" t="s">
        <v>140</v>
      </c>
      <c r="B470">
        <v>7</v>
      </c>
      <c r="C470" s="1" t="s">
        <v>54</v>
      </c>
      <c r="D470">
        <v>17739041</v>
      </c>
      <c r="E470" s="3" t="str">
        <f>IF($D470="","",VLOOKUP($D470,기준표!$B$4:$C$12,2,TRUE()))</f>
        <v>9단계</v>
      </c>
      <c r="F470" s="1" t="s">
        <v>119</v>
      </c>
    </row>
    <row r="471" spans="1:6" ht="16.5" customHeight="1">
      <c r="A471" s="10" t="s">
        <v>140</v>
      </c>
      <c r="B471">
        <v>8</v>
      </c>
      <c r="C471" s="1" t="s">
        <v>57</v>
      </c>
      <c r="D471">
        <v>16819662</v>
      </c>
      <c r="E471" s="3" t="str">
        <f>IF($D471="","",VLOOKUP($D471,기준표!$B$4:$C$12,2,TRUE()))</f>
        <v>9단계</v>
      </c>
      <c r="F471" s="1" t="s">
        <v>119</v>
      </c>
    </row>
    <row r="472" spans="1:6" ht="16.5" customHeight="1">
      <c r="A472" s="10" t="s">
        <v>140</v>
      </c>
      <c r="B472">
        <v>9</v>
      </c>
      <c r="C472" s="1" t="s">
        <v>61</v>
      </c>
      <c r="D472">
        <v>16467526</v>
      </c>
      <c r="E472" s="3" t="str">
        <f>IF($D472="","",VLOOKUP($D472,기준표!$B$4:$C$12,2,TRUE()))</f>
        <v>9단계</v>
      </c>
      <c r="F472" s="1" t="s">
        <v>119</v>
      </c>
    </row>
    <row r="473" spans="1:6" ht="16.5" customHeight="1">
      <c r="A473" s="10" t="s">
        <v>140</v>
      </c>
      <c r="B473">
        <v>10</v>
      </c>
      <c r="C473" s="1" t="s">
        <v>67</v>
      </c>
      <c r="D473">
        <v>16055935</v>
      </c>
      <c r="E473" s="3" t="str">
        <f>IF($D473="","",VLOOKUP($D473,기준표!$B$4:$C$12,2,TRUE()))</f>
        <v>9단계</v>
      </c>
      <c r="F473" s="1" t="s">
        <v>119</v>
      </c>
    </row>
    <row r="474" spans="1:6" ht="16.5" customHeight="1">
      <c r="A474" s="10" t="s">
        <v>140</v>
      </c>
      <c r="B474">
        <v>11</v>
      </c>
      <c r="C474" s="1" t="s">
        <v>74</v>
      </c>
      <c r="D474">
        <v>15881627</v>
      </c>
      <c r="E474" s="3" t="str">
        <f>IF($D474="","",VLOOKUP($D474,기준표!$B$4:$C$12,2,TRUE()))</f>
        <v>9단계</v>
      </c>
      <c r="F474" s="1" t="s">
        <v>119</v>
      </c>
    </row>
    <row r="475" spans="1:6" ht="16.5" customHeight="1">
      <c r="A475" s="10" t="s">
        <v>140</v>
      </c>
      <c r="B475">
        <v>12</v>
      </c>
      <c r="C475" s="1" t="s">
        <v>126</v>
      </c>
      <c r="D475">
        <v>15648377</v>
      </c>
      <c r="E475" s="3" t="str">
        <f>IF($D475="","",VLOOKUP($D475,기준표!$B$4:$C$12,2,TRUE()))</f>
        <v>9단계</v>
      </c>
      <c r="F475" s="1" t="s">
        <v>119</v>
      </c>
    </row>
    <row r="476" spans="1:6" ht="16.5" customHeight="1">
      <c r="A476" s="10" t="s">
        <v>140</v>
      </c>
      <c r="B476">
        <v>13</v>
      </c>
      <c r="C476" s="1" t="s">
        <v>84</v>
      </c>
      <c r="D476">
        <v>15004301</v>
      </c>
      <c r="E476" s="3" t="str">
        <f>IF($D476="","",VLOOKUP($D476,기준표!$B$4:$C$12,2,TRUE()))</f>
        <v>9단계</v>
      </c>
      <c r="F476" s="1" t="s">
        <v>119</v>
      </c>
    </row>
    <row r="477" spans="1:6" ht="16.5" customHeight="1">
      <c r="A477" s="10" t="s">
        <v>140</v>
      </c>
      <c r="B477">
        <v>14</v>
      </c>
      <c r="C477" s="1" t="s">
        <v>56</v>
      </c>
      <c r="D477">
        <v>14876905</v>
      </c>
      <c r="E477" s="3" t="str">
        <f>IF($D477="","",VLOOKUP($D477,기준표!$B$4:$C$12,2,TRUE()))</f>
        <v>9단계</v>
      </c>
      <c r="F477" s="1" t="s">
        <v>119</v>
      </c>
    </row>
    <row r="478" spans="1:6" ht="16.5" customHeight="1">
      <c r="A478" s="10" t="s">
        <v>140</v>
      </c>
      <c r="B478">
        <v>15</v>
      </c>
      <c r="C478" s="1" t="s">
        <v>69</v>
      </c>
      <c r="D478">
        <v>14267795</v>
      </c>
      <c r="E478" s="3" t="str">
        <f>IF($D478="","",VLOOKUP($D478,기준표!$B$4:$C$12,2,TRUE()))</f>
        <v>9단계</v>
      </c>
      <c r="F478" s="1" t="s">
        <v>119</v>
      </c>
    </row>
    <row r="479" spans="1:6" ht="16.5" customHeight="1">
      <c r="A479" s="10" t="s">
        <v>140</v>
      </c>
      <c r="B479">
        <v>16</v>
      </c>
      <c r="C479" s="1" t="s">
        <v>20</v>
      </c>
      <c r="D479">
        <v>13933020</v>
      </c>
      <c r="E479" s="3" t="str">
        <f>IF($D479="","",VLOOKUP($D479,기준표!$B$4:$C$12,2,TRUE()))</f>
        <v>9단계</v>
      </c>
      <c r="F479" s="1" t="s">
        <v>119</v>
      </c>
    </row>
    <row r="480" spans="1:6" ht="16.5" customHeight="1">
      <c r="A480" s="10" t="s">
        <v>140</v>
      </c>
      <c r="B480">
        <v>17</v>
      </c>
      <c r="C480" s="1" t="s">
        <v>60</v>
      </c>
      <c r="D480">
        <v>13860431</v>
      </c>
      <c r="E480" s="3" t="str">
        <f>IF($D480="","",VLOOKUP($D480,기준표!$B$4:$C$12,2,TRUE()))</f>
        <v>9단계</v>
      </c>
      <c r="F480" s="1" t="s">
        <v>119</v>
      </c>
    </row>
    <row r="481" spans="1:6" ht="16.5" customHeight="1">
      <c r="A481" s="10" t="s">
        <v>140</v>
      </c>
      <c r="B481">
        <v>18</v>
      </c>
      <c r="C481" s="1" t="s">
        <v>104</v>
      </c>
      <c r="D481">
        <v>13532579</v>
      </c>
      <c r="E481" s="3" t="str">
        <f>IF($D481="","",VLOOKUP($D481,기준표!$B$4:$C$12,2,TRUE()))</f>
        <v>9단계</v>
      </c>
      <c r="F481" s="1" t="s">
        <v>119</v>
      </c>
    </row>
    <row r="482" spans="1:6" ht="16.5" customHeight="1">
      <c r="A482" s="10" t="s">
        <v>140</v>
      </c>
      <c r="B482">
        <v>19</v>
      </c>
      <c r="C482" s="1" t="s">
        <v>129</v>
      </c>
      <c r="D482">
        <v>13182400</v>
      </c>
      <c r="E482" s="3" t="str">
        <f>IF($D482="","",VLOOKUP($D482,기준표!$B$4:$C$12,2,TRUE()))</f>
        <v>9단계</v>
      </c>
      <c r="F482" s="1" t="s">
        <v>119</v>
      </c>
    </row>
    <row r="483" spans="1:6" ht="16.5" customHeight="1">
      <c r="A483" s="10" t="s">
        <v>140</v>
      </c>
      <c r="B483">
        <v>20</v>
      </c>
      <c r="C483" s="1" t="s">
        <v>120</v>
      </c>
      <c r="D483">
        <v>13095025</v>
      </c>
      <c r="E483" s="3" t="str">
        <f>IF($D483="","",VLOOKUP($D483,기준표!$B$4:$C$12,2,TRUE()))</f>
        <v>9단계</v>
      </c>
      <c r="F483" s="1" t="s">
        <v>119</v>
      </c>
    </row>
    <row r="484" spans="1:6" ht="16.5" customHeight="1">
      <c r="A484" s="10" t="s">
        <v>140</v>
      </c>
      <c r="B484">
        <v>21</v>
      </c>
      <c r="C484" s="1" t="s">
        <v>77</v>
      </c>
      <c r="D484">
        <v>13087291</v>
      </c>
      <c r="E484" s="3" t="str">
        <f>IF($D484="","",VLOOKUP($D484,기준표!$B$4:$C$12,2,TRUE()))</f>
        <v>9단계</v>
      </c>
      <c r="F484" s="1" t="s">
        <v>119</v>
      </c>
    </row>
    <row r="485" spans="1:6" ht="16.5" customHeight="1">
      <c r="A485" s="10" t="s">
        <v>140</v>
      </c>
      <c r="B485">
        <v>22</v>
      </c>
      <c r="C485" s="1" t="s">
        <v>82</v>
      </c>
      <c r="D485">
        <v>12933627</v>
      </c>
      <c r="E485" s="3" t="str">
        <f>IF($D485="","",VLOOKUP($D485,기준표!$B$4:$C$12,2,TRUE()))</f>
        <v>9단계</v>
      </c>
      <c r="F485" s="1" t="s">
        <v>119</v>
      </c>
    </row>
    <row r="486" spans="1:6" ht="16.5" customHeight="1">
      <c r="A486" s="10" t="s">
        <v>140</v>
      </c>
      <c r="B486">
        <v>23</v>
      </c>
      <c r="C486" s="1" t="s">
        <v>81</v>
      </c>
      <c r="D486">
        <v>12235488</v>
      </c>
      <c r="E486" s="3" t="str">
        <f>IF($D486="","",VLOOKUP($D486,기준표!$B$4:$C$12,2,TRUE()))</f>
        <v>9단계</v>
      </c>
      <c r="F486" s="1" t="s">
        <v>119</v>
      </c>
    </row>
    <row r="487" spans="1:6" ht="16.5" customHeight="1">
      <c r="A487" s="10" t="s">
        <v>140</v>
      </c>
      <c r="B487">
        <v>24</v>
      </c>
      <c r="C487" s="1" t="s">
        <v>75</v>
      </c>
      <c r="D487">
        <v>11977594</v>
      </c>
      <c r="E487" s="3" t="str">
        <f>IF($D487="","",VLOOKUP($D487,기준표!$B$4:$C$12,2,TRUE()))</f>
        <v>9단계</v>
      </c>
      <c r="F487" s="1" t="s">
        <v>119</v>
      </c>
    </row>
    <row r="488" spans="1:6" ht="16.5" customHeight="1">
      <c r="A488" s="10" t="s">
        <v>140</v>
      </c>
      <c r="B488">
        <v>25</v>
      </c>
      <c r="C488" s="1" t="s">
        <v>106</v>
      </c>
      <c r="D488">
        <v>11757320</v>
      </c>
      <c r="E488" s="3" t="str">
        <f>IF($D488="","",VLOOKUP($D488,기준표!$B$4:$C$12,2,TRUE()))</f>
        <v>9단계</v>
      </c>
      <c r="F488" s="1" t="s">
        <v>119</v>
      </c>
    </row>
    <row r="489" spans="1:6" ht="16.5" customHeight="1">
      <c r="A489" s="10" t="s">
        <v>140</v>
      </c>
      <c r="B489">
        <v>26</v>
      </c>
      <c r="C489" s="1" t="s">
        <v>123</v>
      </c>
      <c r="D489">
        <v>11618788</v>
      </c>
      <c r="E489" s="3" t="str">
        <f>IF($D489="","",VLOOKUP($D489,기준표!$B$4:$C$12,2,TRUE()))</f>
        <v>9단계</v>
      </c>
      <c r="F489" s="1" t="s">
        <v>119</v>
      </c>
    </row>
    <row r="490" spans="1:6" ht="16.5" customHeight="1">
      <c r="A490" s="10" t="s">
        <v>140</v>
      </c>
      <c r="B490">
        <v>27</v>
      </c>
      <c r="C490" s="1" t="s">
        <v>94</v>
      </c>
      <c r="D490">
        <v>11570445</v>
      </c>
      <c r="E490" s="3" t="str">
        <f>IF($D490="","",VLOOKUP($D490,기준표!$B$4:$C$12,2,TRUE()))</f>
        <v>9단계</v>
      </c>
      <c r="F490" s="1" t="s">
        <v>119</v>
      </c>
    </row>
    <row r="491" spans="1:6" ht="16.5" customHeight="1">
      <c r="A491" s="10" t="s">
        <v>140</v>
      </c>
      <c r="B491">
        <v>28</v>
      </c>
      <c r="C491" s="1" t="s">
        <v>58</v>
      </c>
      <c r="D491">
        <v>10316950</v>
      </c>
      <c r="E491" s="3" t="str">
        <f>IF($D491="","",VLOOKUP($D491,기준표!$B$4:$C$12,2,TRUE()))</f>
        <v>9단계</v>
      </c>
      <c r="F491" s="1" t="s">
        <v>119</v>
      </c>
    </row>
    <row r="492" spans="1:6" ht="16.5" customHeight="1">
      <c r="A492" s="10" t="s">
        <v>140</v>
      </c>
      <c r="B492">
        <v>29</v>
      </c>
      <c r="C492" s="1" t="s">
        <v>85</v>
      </c>
      <c r="D492">
        <v>10147963</v>
      </c>
      <c r="E492" s="3" t="str">
        <f>IF($D492="","",VLOOKUP($D492,기준표!$B$4:$C$12,2,TRUE()))</f>
        <v>9단계</v>
      </c>
      <c r="F492" s="1" t="s">
        <v>119</v>
      </c>
    </row>
    <row r="493" spans="1:6" ht="16.5" customHeight="1">
      <c r="A493" s="10" t="s">
        <v>140</v>
      </c>
      <c r="B493">
        <v>30</v>
      </c>
      <c r="C493" s="1" t="s">
        <v>86</v>
      </c>
      <c r="D493">
        <v>10083077</v>
      </c>
      <c r="E493" s="3" t="str">
        <f>IF($D493="","",VLOOKUP($D493,기준표!$B$4:$C$12,2,TRUE()))</f>
        <v>9단계</v>
      </c>
      <c r="F493" s="1" t="s">
        <v>119</v>
      </c>
    </row>
    <row r="494" spans="1:6" ht="16.5" customHeight="1">
      <c r="A494" s="10" t="s">
        <v>140</v>
      </c>
      <c r="B494">
        <v>31</v>
      </c>
      <c r="C494" s="1" t="s">
        <v>51</v>
      </c>
      <c r="D494">
        <v>9855880</v>
      </c>
      <c r="E494" s="3" t="str">
        <f>IF($D494="","",VLOOKUP($D494,기준표!$B$4:$C$12,2,TRUE()))</f>
        <v>9단계</v>
      </c>
      <c r="F494" s="1" t="s">
        <v>119</v>
      </c>
    </row>
    <row r="495" spans="1:6" ht="16.5" customHeight="1">
      <c r="A495" s="10" t="s">
        <v>140</v>
      </c>
      <c r="B495">
        <v>32</v>
      </c>
      <c r="C495" s="1" t="s">
        <v>8</v>
      </c>
      <c r="D495">
        <v>9817245</v>
      </c>
      <c r="E495" s="3" t="str">
        <f>IF($D495="","",VLOOKUP($D495,기준표!$B$4:$C$12,2,TRUE()))</f>
        <v>9단계</v>
      </c>
      <c r="F495" s="1" t="s">
        <v>119</v>
      </c>
    </row>
    <row r="496" spans="1:6" ht="16.5" customHeight="1">
      <c r="A496" s="10" t="s">
        <v>140</v>
      </c>
      <c r="B496">
        <v>33</v>
      </c>
      <c r="C496" s="1" t="s">
        <v>80</v>
      </c>
      <c r="D496">
        <v>9693705</v>
      </c>
      <c r="E496" s="3" t="str">
        <f>IF($D496="","",VLOOKUP($D496,기준표!$B$4:$C$12,2,TRUE()))</f>
        <v>9단계</v>
      </c>
      <c r="F496" s="1" t="s">
        <v>119</v>
      </c>
    </row>
    <row r="497" spans="1:6" ht="16.5" customHeight="1">
      <c r="A497" s="10" t="s">
        <v>140</v>
      </c>
      <c r="B497">
        <v>34</v>
      </c>
      <c r="C497" s="1" t="s">
        <v>2</v>
      </c>
      <c r="D497">
        <v>9087091</v>
      </c>
      <c r="E497" s="3" t="str">
        <f>IF($D497="","",VLOOKUP($D497,기준표!$B$4:$C$12,2,TRUE()))</f>
        <v>9단계</v>
      </c>
      <c r="F497" s="1" t="s">
        <v>119</v>
      </c>
    </row>
    <row r="498" spans="1:6" ht="16.5" customHeight="1">
      <c r="A498" s="10" t="s">
        <v>140</v>
      </c>
      <c r="B498">
        <v>35</v>
      </c>
      <c r="C498" s="1" t="s">
        <v>93</v>
      </c>
      <c r="D498">
        <v>8975895</v>
      </c>
      <c r="E498" s="3" t="str">
        <f>IF($D498="","",VLOOKUP($D498,기준표!$B$4:$C$12,2,TRUE()))</f>
        <v>9단계</v>
      </c>
      <c r="F498" s="1" t="s">
        <v>119</v>
      </c>
    </row>
    <row r="499" spans="1:6" ht="16.5" customHeight="1">
      <c r="A499" s="10" t="s">
        <v>140</v>
      </c>
      <c r="B499">
        <v>36</v>
      </c>
      <c r="C499" s="1" t="s">
        <v>130</v>
      </c>
      <c r="D499">
        <v>8677656</v>
      </c>
      <c r="E499" s="3" t="str">
        <f>IF($D499="","",VLOOKUP($D499,기준표!$B$4:$C$12,2,TRUE()))</f>
        <v>9단계</v>
      </c>
      <c r="F499" s="1" t="s">
        <v>119</v>
      </c>
    </row>
    <row r="500" spans="1:6" ht="16.5" customHeight="1">
      <c r="A500" s="10" t="s">
        <v>140</v>
      </c>
      <c r="B500">
        <v>37</v>
      </c>
      <c r="C500" s="1" t="s">
        <v>127</v>
      </c>
      <c r="D500">
        <v>8136969</v>
      </c>
      <c r="E500" s="3" t="str">
        <f>IF($D500="","",VLOOKUP($D500,기준표!$B$4:$C$12,2,TRUE()))</f>
        <v>9단계</v>
      </c>
      <c r="F500" s="1" t="s">
        <v>119</v>
      </c>
    </row>
    <row r="501" spans="1:6" ht="16.5" customHeight="1">
      <c r="A501" s="10" t="s">
        <v>140</v>
      </c>
      <c r="B501">
        <v>38</v>
      </c>
      <c r="C501" s="1" t="s">
        <v>135</v>
      </c>
      <c r="D501">
        <v>7967958</v>
      </c>
      <c r="E501" s="3" t="str">
        <f>IF($D501="","",VLOOKUP($D501,기준표!$B$4:$C$12,2,TRUE()))</f>
        <v>9단계</v>
      </c>
      <c r="F501" s="1" t="s">
        <v>119</v>
      </c>
    </row>
    <row r="502" spans="1:6" ht="16.5" customHeight="1">
      <c r="A502" s="10" t="s">
        <v>140</v>
      </c>
      <c r="B502">
        <v>39</v>
      </c>
      <c r="C502" s="1" t="s">
        <v>10</v>
      </c>
      <c r="D502">
        <v>7961657</v>
      </c>
      <c r="E502" s="3" t="str">
        <f>IF($D502="","",VLOOKUP($D502,기준표!$B$4:$C$12,2,TRUE()))</f>
        <v>9단계</v>
      </c>
      <c r="F502" s="1" t="s">
        <v>119</v>
      </c>
    </row>
    <row r="503" spans="1:6" ht="16.5" customHeight="1">
      <c r="A503" s="10" t="s">
        <v>140</v>
      </c>
      <c r="B503">
        <v>40</v>
      </c>
      <c r="C503" s="1" t="s">
        <v>62</v>
      </c>
      <c r="D503">
        <v>7747311</v>
      </c>
      <c r="E503" s="3" t="str">
        <f>IF($D503="","",VLOOKUP($D503,기준표!$B$4:$C$12,2,TRUE()))</f>
        <v>9단계</v>
      </c>
      <c r="F503" s="1" t="s">
        <v>119</v>
      </c>
    </row>
    <row r="504" spans="1:6" ht="16.5" customHeight="1">
      <c r="A504" s="10" t="s">
        <v>140</v>
      </c>
      <c r="B504">
        <v>41</v>
      </c>
      <c r="C504" s="1" t="s">
        <v>63</v>
      </c>
      <c r="D504">
        <v>7677537</v>
      </c>
      <c r="E504" s="3" t="str">
        <f>IF($D504="","",VLOOKUP($D504,기준표!$B$4:$C$12,2,TRUE()))</f>
        <v>9단계</v>
      </c>
      <c r="F504" s="1" t="s">
        <v>119</v>
      </c>
    </row>
    <row r="505" spans="1:6" ht="16.5" customHeight="1">
      <c r="A505" s="10" t="s">
        <v>140</v>
      </c>
      <c r="B505">
        <v>42</v>
      </c>
      <c r="C505" s="1" t="s">
        <v>65</v>
      </c>
      <c r="D505">
        <v>7645034</v>
      </c>
      <c r="E505" s="3" t="str">
        <f>IF($D505="","",VLOOKUP($D505,기준표!$B$4:$C$12,2,TRUE()))</f>
        <v>9단계</v>
      </c>
      <c r="F505" s="1" t="s">
        <v>119</v>
      </c>
    </row>
    <row r="506" spans="1:6" ht="16.5" customHeight="1">
      <c r="A506" s="10" t="s">
        <v>140</v>
      </c>
      <c r="B506">
        <v>43</v>
      </c>
      <c r="C506" s="1" t="s">
        <v>113</v>
      </c>
      <c r="D506">
        <v>7551900</v>
      </c>
      <c r="E506" s="3" t="str">
        <f>IF($D506="","",VLOOKUP($D506,기준표!$B$4:$C$12,2,TRUE()))</f>
        <v>9단계</v>
      </c>
      <c r="F506" s="1" t="s">
        <v>119</v>
      </c>
    </row>
    <row r="507" spans="1:6" ht="16.5" customHeight="1">
      <c r="A507" s="10" t="s">
        <v>140</v>
      </c>
      <c r="B507">
        <v>44</v>
      </c>
      <c r="C507" s="1" t="s">
        <v>122</v>
      </c>
      <c r="D507">
        <v>7332082</v>
      </c>
      <c r="E507" s="3" t="str">
        <f>IF($D507="","",VLOOKUP($D507,기준표!$B$4:$C$12,2,TRUE()))</f>
        <v>9단계</v>
      </c>
      <c r="F507" s="1" t="s">
        <v>119</v>
      </c>
    </row>
    <row r="508" spans="1:6" ht="16.5" customHeight="1">
      <c r="A508" s="10" t="s">
        <v>140</v>
      </c>
      <c r="B508">
        <v>45</v>
      </c>
      <c r="C508" s="1" t="s">
        <v>92</v>
      </c>
      <c r="D508">
        <v>7236028</v>
      </c>
      <c r="E508" s="3" t="str">
        <f>IF($D508="","",VLOOKUP($D508,기준표!$B$4:$C$12,2,TRUE()))</f>
        <v>9단계</v>
      </c>
      <c r="F508" s="1" t="s">
        <v>119</v>
      </c>
    </row>
    <row r="509" spans="1:6" ht="16.5" customHeight="1">
      <c r="A509" s="10" t="s">
        <v>140</v>
      </c>
      <c r="B509">
        <v>46</v>
      </c>
      <c r="C509" s="1" t="s">
        <v>6</v>
      </c>
      <c r="D509">
        <v>7221978</v>
      </c>
      <c r="E509" s="3" t="str">
        <f>IF($D509="","",VLOOKUP($D509,기준표!$B$4:$C$12,2,TRUE()))</f>
        <v>9단계</v>
      </c>
      <c r="F509" s="1" t="s">
        <v>119</v>
      </c>
    </row>
    <row r="510" spans="1:6" ht="16.5" customHeight="1">
      <c r="A510" s="10" t="s">
        <v>140</v>
      </c>
      <c r="B510">
        <v>47</v>
      </c>
      <c r="C510" s="1" t="s">
        <v>136</v>
      </c>
      <c r="D510">
        <v>6193789</v>
      </c>
      <c r="E510" s="3" t="str">
        <f>IF($D510="","",VLOOKUP($D510,기준표!$B$4:$C$12,2,TRUE()))</f>
        <v>8단계</v>
      </c>
      <c r="F510" s="1" t="s">
        <v>119</v>
      </c>
    </row>
    <row r="511" spans="1:6" ht="16.5" customHeight="1">
      <c r="A511" s="10" t="s">
        <v>140</v>
      </c>
      <c r="B511">
        <v>48</v>
      </c>
      <c r="C511" s="1" t="s">
        <v>110</v>
      </c>
      <c r="D511">
        <v>5861978</v>
      </c>
      <c r="E511" s="3" t="str">
        <f>IF($D511="","",VLOOKUP($D511,기준표!$B$4:$C$12,2,TRUE()))</f>
        <v>8단계</v>
      </c>
      <c r="F511" s="1" t="s">
        <v>119</v>
      </c>
    </row>
    <row r="512" spans="1:6" ht="16.5" customHeight="1">
      <c r="A512" s="10" t="s">
        <v>140</v>
      </c>
      <c r="B512">
        <v>49</v>
      </c>
      <c r="C512" s="1" t="s">
        <v>95</v>
      </c>
      <c r="D512">
        <v>5260322</v>
      </c>
      <c r="E512" s="3" t="str">
        <f>IF($D512="","",VLOOKUP($D512,기준표!$B$4:$C$12,2,TRUE()))</f>
        <v>8단계</v>
      </c>
      <c r="F512" s="1" t="s">
        <v>119</v>
      </c>
    </row>
    <row r="513" spans="1:6" ht="16.5" customHeight="1">
      <c r="A513" s="10" t="s">
        <v>140</v>
      </c>
      <c r="B513">
        <v>50</v>
      </c>
      <c r="C513" s="1" t="s">
        <v>88</v>
      </c>
      <c r="D513">
        <v>5170507</v>
      </c>
      <c r="E513" s="3" t="str">
        <f>IF($D513="","",VLOOKUP($D513,기준표!$B$4:$C$12,2,TRUE()))</f>
        <v>8단계</v>
      </c>
      <c r="F513" s="1" t="s">
        <v>119</v>
      </c>
    </row>
    <row r="514" spans="1:6" ht="16.5" customHeight="1">
      <c r="A514" s="10" t="s">
        <v>140</v>
      </c>
      <c r="B514">
        <v>51</v>
      </c>
      <c r="C514" s="1" t="s">
        <v>105</v>
      </c>
      <c r="D514">
        <v>5131629</v>
      </c>
      <c r="E514" s="3" t="str">
        <f>IF($D514="","",VLOOKUP($D514,기준표!$B$4:$C$12,2,TRUE()))</f>
        <v>8단계</v>
      </c>
      <c r="F514" s="1" t="s">
        <v>119</v>
      </c>
    </row>
    <row r="515" spans="1:6" ht="16.5" customHeight="1">
      <c r="A515" s="10" t="s">
        <v>140</v>
      </c>
      <c r="B515">
        <v>52</v>
      </c>
      <c r="C515" s="1" t="s">
        <v>101</v>
      </c>
      <c r="D515">
        <v>5087018</v>
      </c>
      <c r="E515" s="3" t="str">
        <f>IF($D515="","",VLOOKUP($D515,기준표!$B$4:$C$12,2,TRUE()))</f>
        <v>8단계</v>
      </c>
      <c r="F515" s="1" t="s">
        <v>119</v>
      </c>
    </row>
    <row r="516" spans="1:6" ht="16.5" customHeight="1">
      <c r="A516" s="10" t="s">
        <v>140</v>
      </c>
      <c r="B516">
        <v>53</v>
      </c>
      <c r="C516" s="1" t="s">
        <v>79</v>
      </c>
      <c r="D516">
        <v>4675083</v>
      </c>
      <c r="E516" s="3" t="str">
        <f>IF($D516="","",VLOOKUP($D516,기준표!$B$4:$C$12,2,TRUE()))</f>
        <v>8단계</v>
      </c>
      <c r="F516" s="1" t="s">
        <v>119</v>
      </c>
    </row>
    <row r="517" spans="1:6" ht="16.5" customHeight="1">
      <c r="A517" s="10" t="s">
        <v>140</v>
      </c>
      <c r="B517">
        <v>54</v>
      </c>
      <c r="C517" s="1" t="s">
        <v>100</v>
      </c>
      <c r="D517">
        <v>4628594</v>
      </c>
      <c r="E517" s="3" t="str">
        <f>IF($D517="","",VLOOKUP($D517,기준표!$B$4:$C$12,2,TRUE()))</f>
        <v>8단계</v>
      </c>
      <c r="F517" s="1" t="s">
        <v>119</v>
      </c>
    </row>
    <row r="518" spans="1:6" ht="16.5" customHeight="1">
      <c r="A518" s="10" t="s">
        <v>140</v>
      </c>
      <c r="B518">
        <v>55</v>
      </c>
      <c r="C518" s="1" t="s">
        <v>83</v>
      </c>
      <c r="D518">
        <v>4531336</v>
      </c>
      <c r="E518" s="3" t="str">
        <f>IF($D518="","",VLOOKUP($D518,기준표!$B$4:$C$12,2,TRUE()))</f>
        <v>8단계</v>
      </c>
      <c r="F518" s="1" t="s">
        <v>119</v>
      </c>
    </row>
    <row r="519" spans="1:6" ht="16.5" customHeight="1">
      <c r="A519" s="10" t="s">
        <v>140</v>
      </c>
      <c r="B519">
        <v>56</v>
      </c>
      <c r="C519" s="1" t="s">
        <v>96</v>
      </c>
      <c r="D519">
        <v>4009291</v>
      </c>
      <c r="E519" s="3" t="str">
        <f>IF($D519="","",VLOOKUP($D519,기준표!$B$4:$C$12,2,TRUE()))</f>
        <v>8단계</v>
      </c>
      <c r="F519" s="1" t="s">
        <v>119</v>
      </c>
    </row>
    <row r="520" spans="1:6" ht="16.5" customHeight="1">
      <c r="A520" s="10" t="s">
        <v>140</v>
      </c>
      <c r="B520">
        <v>57</v>
      </c>
      <c r="C520" s="1" t="s">
        <v>103</v>
      </c>
      <c r="D520">
        <v>2941137</v>
      </c>
      <c r="E520" s="3" t="str">
        <f>IF($D520="","",VLOOKUP($D520,기준표!$B$4:$C$12,2,TRUE()))</f>
        <v>8단계</v>
      </c>
      <c r="F520" s="1" t="s">
        <v>119</v>
      </c>
    </row>
    <row r="521" spans="1:6" ht="16.5" customHeight="1">
      <c r="A521" s="10" t="s">
        <v>140</v>
      </c>
      <c r="B521">
        <v>58</v>
      </c>
      <c r="C521" s="1" t="s">
        <v>78</v>
      </c>
      <c r="D521">
        <v>2725754</v>
      </c>
      <c r="E521" s="3" t="str">
        <f>IF($D521="","",VLOOKUP($D521,기준표!$B$4:$C$12,2,TRUE()))</f>
        <v>8단계</v>
      </c>
      <c r="F521" s="1" t="s">
        <v>119</v>
      </c>
    </row>
    <row r="522" spans="1:6" ht="16.5" customHeight="1">
      <c r="A522" s="10" t="s">
        <v>140</v>
      </c>
      <c r="B522">
        <v>59</v>
      </c>
      <c r="C522" s="1" t="s">
        <v>99</v>
      </c>
      <c r="D522">
        <v>2437208</v>
      </c>
      <c r="E522" s="3" t="str">
        <f>IF($D522="","",VLOOKUP($D522,기준표!$B$4:$C$12,2,TRUE()))</f>
        <v>7단계</v>
      </c>
      <c r="F522" s="1" t="s">
        <v>119</v>
      </c>
    </row>
    <row r="523" spans="1:6" ht="16.5" customHeight="1">
      <c r="A523" s="10" t="s">
        <v>140</v>
      </c>
      <c r="B523">
        <v>60</v>
      </c>
      <c r="C523" s="1" t="s">
        <v>139</v>
      </c>
      <c r="D523">
        <v>1850852</v>
      </c>
      <c r="E523" s="3" t="str">
        <f>IF($D523="","",VLOOKUP($D523,기준표!$B$4:$C$12,2,TRUE()))</f>
        <v>6단계</v>
      </c>
      <c r="F523" s="1" t="s">
        <v>119</v>
      </c>
    </row>
    <row r="524" spans="1:6" ht="16.5" customHeight="1">
      <c r="A524" s="10" t="s">
        <v>140</v>
      </c>
      <c r="B524">
        <v>61</v>
      </c>
      <c r="C524" s="1" t="s">
        <v>109</v>
      </c>
      <c r="D524">
        <v>1673463</v>
      </c>
      <c r="E524" s="3" t="str">
        <f>IF($D524="","",VLOOKUP($D524,기준표!$B$4:$C$12,2,TRUE()))</f>
        <v>6단계</v>
      </c>
      <c r="F524" s="1" t="s">
        <v>119</v>
      </c>
    </row>
    <row r="525" spans="1:6" ht="16.5" customHeight="1">
      <c r="A525" s="10" t="s">
        <v>140</v>
      </c>
      <c r="B525">
        <v>62</v>
      </c>
      <c r="C525" s="1" t="s">
        <v>111</v>
      </c>
      <c r="D525">
        <v>1036526</v>
      </c>
      <c r="E525" s="3" t="str">
        <f>IF($D525="","",VLOOKUP($D525,기준표!$B$4:$C$12,2,TRUE()))</f>
        <v>6단계</v>
      </c>
      <c r="F525" s="1" t="s">
        <v>119</v>
      </c>
    </row>
    <row r="526" spans="1:6" ht="16.5" customHeight="1">
      <c r="A526" t="s">
        <v>142</v>
      </c>
      <c r="B526" t="s">
        <v>116</v>
      </c>
      <c r="C526" t="s">
        <v>141</v>
      </c>
      <c r="E526" s="3" t="str">
        <f>IF($D526="","",VLOOKUP($D526,기준표!$B$4:$C$12,2,TRUE()))</f>
        <v/>
      </c>
    </row>
    <row r="527" spans="1:6" ht="16.5" customHeight="1">
      <c r="A527" t="s">
        <v>142</v>
      </c>
      <c r="B527">
        <v>1</v>
      </c>
      <c r="C527" s="1" t="s">
        <v>4</v>
      </c>
      <c r="D527">
        <v>17031115</v>
      </c>
      <c r="E527" s="3" t="str">
        <f>IF($D527="","",VLOOKUP($D527,기준표!$B$4:$C$12,2,TRUE()))</f>
        <v>9단계</v>
      </c>
      <c r="F527" s="1" t="s">
        <v>119</v>
      </c>
    </row>
    <row r="528" spans="1:6" ht="16.5" customHeight="1">
      <c r="A528" t="s">
        <v>142</v>
      </c>
      <c r="B528">
        <v>2</v>
      </c>
      <c r="C528" s="1" t="s">
        <v>118</v>
      </c>
      <c r="D528">
        <v>15778800</v>
      </c>
      <c r="E528" s="3" t="str">
        <f>IF($D528="","",VLOOKUP($D528,기준표!$B$4:$C$12,2,TRUE()))</f>
        <v>9단계</v>
      </c>
      <c r="F528" s="1" t="s">
        <v>119</v>
      </c>
    </row>
    <row r="529" spans="1:6" ht="16.5" customHeight="1">
      <c r="A529" t="s">
        <v>142</v>
      </c>
      <c r="B529">
        <v>3</v>
      </c>
      <c r="C529" s="1" t="s">
        <v>130</v>
      </c>
      <c r="D529">
        <v>14939684</v>
      </c>
      <c r="E529" s="3" t="str">
        <f>IF($D529="","",VLOOKUP($D529,기준표!$B$4:$C$12,2,TRUE()))</f>
        <v>9단계</v>
      </c>
      <c r="F529" s="1" t="s">
        <v>119</v>
      </c>
    </row>
    <row r="530" spans="1:6" ht="16.5" customHeight="1">
      <c r="A530" t="s">
        <v>142</v>
      </c>
      <c r="B530">
        <v>4</v>
      </c>
      <c r="C530" s="1" t="s">
        <v>71</v>
      </c>
      <c r="D530">
        <v>13497000</v>
      </c>
      <c r="E530" s="3" t="str">
        <f>IF($D530="","",VLOOKUP($D530,기준표!$B$4:$C$12,2,TRUE()))</f>
        <v>9단계</v>
      </c>
      <c r="F530" s="1" t="s">
        <v>119</v>
      </c>
    </row>
    <row r="531" spans="1:6" ht="16.5" customHeight="1">
      <c r="A531" t="s">
        <v>142</v>
      </c>
      <c r="B531">
        <v>5</v>
      </c>
      <c r="C531" s="1" t="s">
        <v>75</v>
      </c>
      <c r="D531">
        <v>12943350</v>
      </c>
      <c r="E531" s="3" t="str">
        <f>IF($D531="","",VLOOKUP($D531,기준표!$B$4:$C$12,2,TRUE()))</f>
        <v>9단계</v>
      </c>
      <c r="F531" s="1" t="s">
        <v>119</v>
      </c>
    </row>
    <row r="532" spans="1:6" ht="16.5" customHeight="1">
      <c r="A532" t="s">
        <v>142</v>
      </c>
      <c r="B532">
        <v>6</v>
      </c>
      <c r="C532" s="1" t="s">
        <v>64</v>
      </c>
      <c r="D532">
        <v>12464700</v>
      </c>
      <c r="E532" s="3" t="str">
        <f>IF($D532="","",VLOOKUP($D532,기준표!$B$4:$C$12,2,TRUE()))</f>
        <v>9단계</v>
      </c>
      <c r="F532" s="1" t="s">
        <v>119</v>
      </c>
    </row>
    <row r="533" spans="1:6" ht="16.5" customHeight="1">
      <c r="A533" t="s">
        <v>142</v>
      </c>
      <c r="B533">
        <v>7</v>
      </c>
      <c r="C533" s="1" t="s">
        <v>54</v>
      </c>
      <c r="D533">
        <v>12417900</v>
      </c>
      <c r="E533" s="3" t="str">
        <f>IF($D533="","",VLOOKUP($D533,기준표!$B$4:$C$12,2,TRUE()))</f>
        <v>9단계</v>
      </c>
      <c r="F533" s="1" t="s">
        <v>119</v>
      </c>
    </row>
    <row r="534" spans="1:6" ht="16.5" customHeight="1">
      <c r="A534" t="s">
        <v>142</v>
      </c>
      <c r="B534">
        <v>8</v>
      </c>
      <c r="C534" s="1" t="s">
        <v>126</v>
      </c>
      <c r="D534">
        <v>11096550</v>
      </c>
      <c r="E534" s="3" t="str">
        <f>IF($D534="","",VLOOKUP($D534,기준표!$B$4:$C$12,2,TRUE()))</f>
        <v>9단계</v>
      </c>
      <c r="F534" s="1" t="s">
        <v>119</v>
      </c>
    </row>
    <row r="535" spans="1:6" ht="16.5" customHeight="1">
      <c r="A535" t="s">
        <v>142</v>
      </c>
      <c r="B535">
        <v>9</v>
      </c>
      <c r="C535" t="s">
        <v>69</v>
      </c>
      <c r="D535">
        <v>11058450</v>
      </c>
      <c r="E535" s="3" t="str">
        <f>IF($D535="","",VLOOKUP($D535,기준표!$B$4:$C$12,2,TRUE()))</f>
        <v>9단계</v>
      </c>
      <c r="F535" s="1" t="s">
        <v>119</v>
      </c>
    </row>
    <row r="536" spans="1:6" ht="16.5" customHeight="1">
      <c r="A536" t="s">
        <v>142</v>
      </c>
      <c r="B536">
        <v>10</v>
      </c>
      <c r="C536" s="1" t="s">
        <v>56</v>
      </c>
      <c r="D536">
        <v>10543500</v>
      </c>
      <c r="E536" s="3" t="str">
        <f>IF($D536="","",VLOOKUP($D536,기준표!$B$4:$C$12,2,TRUE()))</f>
        <v>9단계</v>
      </c>
      <c r="F536" s="1" t="s">
        <v>119</v>
      </c>
    </row>
    <row r="537" spans="1:6" ht="16.5" customHeight="1">
      <c r="A537" t="s">
        <v>142</v>
      </c>
      <c r="B537">
        <v>11</v>
      </c>
      <c r="C537" s="1" t="s">
        <v>80</v>
      </c>
      <c r="D537">
        <v>10163460</v>
      </c>
      <c r="E537" s="3" t="str">
        <f>IF($D537="","",VLOOKUP($D537,기준표!$B$4:$C$12,2,TRUE()))</f>
        <v>9단계</v>
      </c>
      <c r="F537" s="1" t="s">
        <v>119</v>
      </c>
    </row>
    <row r="538" spans="1:6" ht="16.5" customHeight="1">
      <c r="A538" t="s">
        <v>142</v>
      </c>
      <c r="B538">
        <v>12</v>
      </c>
      <c r="C538" s="1" t="s">
        <v>82</v>
      </c>
      <c r="D538">
        <v>10065150</v>
      </c>
      <c r="E538" s="3" t="str">
        <f>IF($D538="","",VLOOKUP($D538,기준표!$B$4:$C$12,2,TRUE()))</f>
        <v>9단계</v>
      </c>
      <c r="F538" s="1" t="s">
        <v>119</v>
      </c>
    </row>
    <row r="539" spans="1:6" ht="16.5" customHeight="1">
      <c r="A539" t="s">
        <v>142</v>
      </c>
      <c r="B539">
        <v>13</v>
      </c>
      <c r="C539" s="1" t="s">
        <v>67</v>
      </c>
      <c r="D539">
        <v>9469950</v>
      </c>
      <c r="E539" s="3" t="str">
        <f>IF($D539="","",VLOOKUP($D539,기준표!$B$4:$C$12,2,TRUE()))</f>
        <v>9단계</v>
      </c>
      <c r="F539" s="1" t="s">
        <v>119</v>
      </c>
    </row>
    <row r="540" spans="1:6" ht="16.5" customHeight="1">
      <c r="A540" t="s">
        <v>142</v>
      </c>
      <c r="B540">
        <v>14</v>
      </c>
      <c r="C540" s="1" t="s">
        <v>123</v>
      </c>
      <c r="D540">
        <v>9420450</v>
      </c>
      <c r="E540" s="3" t="str">
        <f>IF($D540="","",VLOOKUP($D540,기준표!$B$4:$C$12,2,TRUE()))</f>
        <v>9단계</v>
      </c>
      <c r="F540" s="1" t="s">
        <v>119</v>
      </c>
    </row>
    <row r="541" spans="1:6" ht="16.5" customHeight="1">
      <c r="A541" t="s">
        <v>142</v>
      </c>
      <c r="B541">
        <v>15</v>
      </c>
      <c r="C541" s="1" t="s">
        <v>60</v>
      </c>
      <c r="D541">
        <v>9308550</v>
      </c>
      <c r="E541" s="3" t="str">
        <f>IF($D541="","",VLOOKUP($D541,기준표!$B$4:$C$12,2,TRUE()))</f>
        <v>9단계</v>
      </c>
      <c r="F541" s="1" t="s">
        <v>119</v>
      </c>
    </row>
    <row r="542" spans="1:6" ht="16.5" customHeight="1">
      <c r="A542" t="s">
        <v>142</v>
      </c>
      <c r="B542">
        <v>16</v>
      </c>
      <c r="C542" s="1" t="s">
        <v>84</v>
      </c>
      <c r="D542">
        <v>9216600</v>
      </c>
      <c r="E542" s="3" t="str">
        <f>IF($D542="","",VLOOKUP($D542,기준표!$B$4:$C$12,2,TRUE()))</f>
        <v>9단계</v>
      </c>
      <c r="F542" s="1" t="s">
        <v>119</v>
      </c>
    </row>
    <row r="543" spans="1:6" ht="16.5" customHeight="1">
      <c r="A543" t="s">
        <v>142</v>
      </c>
      <c r="B543">
        <v>17</v>
      </c>
      <c r="C543" s="1" t="s">
        <v>73</v>
      </c>
      <c r="D543">
        <v>9107850</v>
      </c>
      <c r="E543" s="3" t="str">
        <f>IF($D543="","",VLOOKUP($D543,기준표!$B$4:$C$12,2,TRUE()))</f>
        <v>9단계</v>
      </c>
      <c r="F543" s="1" t="s">
        <v>119</v>
      </c>
    </row>
    <row r="544" spans="1:6" ht="16.5" customHeight="1">
      <c r="A544" t="s">
        <v>142</v>
      </c>
      <c r="B544">
        <v>18</v>
      </c>
      <c r="C544" t="s">
        <v>57</v>
      </c>
      <c r="D544">
        <v>8870100</v>
      </c>
      <c r="E544" s="3" t="str">
        <f>IF($D544="","",VLOOKUP($D544,기준표!$B$4:$C$12,2,TRUE()))</f>
        <v>9단계</v>
      </c>
      <c r="F544" s="1" t="s">
        <v>119</v>
      </c>
    </row>
    <row r="545" spans="1:6" ht="16.5" customHeight="1">
      <c r="A545" t="s">
        <v>142</v>
      </c>
      <c r="B545">
        <v>19</v>
      </c>
      <c r="C545" s="1" t="s">
        <v>2</v>
      </c>
      <c r="D545">
        <v>8848528</v>
      </c>
      <c r="E545" s="3" t="str">
        <f>IF($D545="","",VLOOKUP($D545,기준표!$B$4:$C$12,2,TRUE()))</f>
        <v>9단계</v>
      </c>
      <c r="F545" s="1" t="s">
        <v>119</v>
      </c>
    </row>
    <row r="546" spans="1:6" ht="16.5" customHeight="1">
      <c r="A546" t="s">
        <v>142</v>
      </c>
      <c r="B546">
        <v>20</v>
      </c>
      <c r="C546" s="1" t="s">
        <v>85</v>
      </c>
      <c r="D546">
        <v>8552217</v>
      </c>
      <c r="E546" s="3" t="str">
        <f>IF($D546="","",VLOOKUP($D546,기준표!$B$4:$C$12,2,TRUE()))</f>
        <v>9단계</v>
      </c>
      <c r="F546" s="1" t="s">
        <v>119</v>
      </c>
    </row>
    <row r="547" spans="1:6" ht="16.5" customHeight="1">
      <c r="A547" t="s">
        <v>142</v>
      </c>
      <c r="B547">
        <v>21</v>
      </c>
      <c r="C547" s="1" t="s">
        <v>65</v>
      </c>
      <c r="D547">
        <v>8448868</v>
      </c>
      <c r="E547" s="3" t="str">
        <f>IF($D547="","",VLOOKUP($D547,기준표!$B$4:$C$12,2,TRUE()))</f>
        <v>9단계</v>
      </c>
      <c r="F547" s="1" t="s">
        <v>119</v>
      </c>
    </row>
    <row r="548" spans="1:6" ht="16.5" customHeight="1">
      <c r="A548" t="s">
        <v>142</v>
      </c>
      <c r="B548">
        <v>22</v>
      </c>
      <c r="C548" s="1" t="s">
        <v>127</v>
      </c>
      <c r="D548">
        <v>8095292</v>
      </c>
      <c r="E548" s="3" t="str">
        <f>IF($D548="","",VLOOKUP($D548,기준표!$B$4:$C$12,2,TRUE()))</f>
        <v>9단계</v>
      </c>
      <c r="F548" s="1" t="s">
        <v>119</v>
      </c>
    </row>
    <row r="549" spans="1:6" ht="16.5" customHeight="1">
      <c r="A549" t="s">
        <v>142</v>
      </c>
      <c r="B549">
        <v>23</v>
      </c>
      <c r="C549" s="1" t="s">
        <v>77</v>
      </c>
      <c r="D549">
        <v>7861650</v>
      </c>
      <c r="E549" s="3" t="str">
        <f>IF($D549="","",VLOOKUP($D549,기준표!$B$4:$C$12,2,TRUE()))</f>
        <v>9단계</v>
      </c>
      <c r="F549" s="1" t="s">
        <v>119</v>
      </c>
    </row>
    <row r="550" spans="1:6" ht="16.5" customHeight="1">
      <c r="A550" t="s">
        <v>142</v>
      </c>
      <c r="B550">
        <v>24</v>
      </c>
      <c r="C550" s="1" t="s">
        <v>10</v>
      </c>
      <c r="D550">
        <v>7841238</v>
      </c>
      <c r="E550" s="3" t="str">
        <f>IF($D550="","",VLOOKUP($D550,기준표!$B$4:$C$12,2,TRUE()))</f>
        <v>9단계</v>
      </c>
      <c r="F550" s="1" t="s">
        <v>119</v>
      </c>
    </row>
    <row r="551" spans="1:6" ht="16.5" customHeight="1">
      <c r="A551" t="s">
        <v>142</v>
      </c>
      <c r="B551">
        <v>25</v>
      </c>
      <c r="C551" s="1" t="s">
        <v>20</v>
      </c>
      <c r="D551">
        <v>7797750</v>
      </c>
      <c r="E551" s="3" t="str">
        <f>IF($D551="","",VLOOKUP($D551,기준표!$B$4:$C$12,2,TRUE()))</f>
        <v>9단계</v>
      </c>
      <c r="F551" s="1" t="s">
        <v>119</v>
      </c>
    </row>
    <row r="552" spans="1:6" ht="16.5" customHeight="1">
      <c r="A552" t="s">
        <v>142</v>
      </c>
      <c r="B552">
        <v>26</v>
      </c>
      <c r="C552" s="1" t="s">
        <v>63</v>
      </c>
      <c r="D552">
        <v>7603283</v>
      </c>
      <c r="E552" s="3" t="str">
        <f>IF($D552="","",VLOOKUP($D552,기준표!$B$4:$C$12,2,TRUE()))</f>
        <v>9단계</v>
      </c>
      <c r="F552" s="1" t="s">
        <v>119</v>
      </c>
    </row>
    <row r="553" spans="1:6" ht="16.5" customHeight="1">
      <c r="A553" t="s">
        <v>142</v>
      </c>
      <c r="B553">
        <v>27</v>
      </c>
      <c r="C553" s="1" t="s">
        <v>61</v>
      </c>
      <c r="D553">
        <v>7594350</v>
      </c>
      <c r="E553" s="3" t="str">
        <f>IF($D553="","",VLOOKUP($D553,기준표!$B$4:$C$12,2,TRUE()))</f>
        <v>9단계</v>
      </c>
      <c r="F553" s="1" t="s">
        <v>119</v>
      </c>
    </row>
    <row r="554" spans="1:6" ht="16.5" customHeight="1">
      <c r="A554" t="s">
        <v>142</v>
      </c>
      <c r="B554">
        <v>28</v>
      </c>
      <c r="C554" s="1" t="s">
        <v>17</v>
      </c>
      <c r="D554">
        <v>7320600</v>
      </c>
      <c r="E554" s="3" t="str">
        <f>IF($D554="","",VLOOKUP($D554,기준표!$B$4:$C$12,2,TRUE()))</f>
        <v>9단계</v>
      </c>
      <c r="F554" s="1" t="s">
        <v>119</v>
      </c>
    </row>
    <row r="555" spans="1:6" ht="16.5" customHeight="1">
      <c r="A555" t="s">
        <v>142</v>
      </c>
      <c r="B555">
        <v>29</v>
      </c>
      <c r="C555" s="1" t="s">
        <v>51</v>
      </c>
      <c r="D555">
        <v>7287450</v>
      </c>
      <c r="E555" s="3" t="str">
        <f>IF($D555="","",VLOOKUP($D555,기준표!$B$4:$C$12,2,TRUE()))</f>
        <v>9단계</v>
      </c>
      <c r="F555" s="1" t="s">
        <v>119</v>
      </c>
    </row>
    <row r="556" spans="1:6" ht="16.5" customHeight="1">
      <c r="A556" t="s">
        <v>142</v>
      </c>
      <c r="B556">
        <v>30</v>
      </c>
      <c r="C556" s="1" t="s">
        <v>104</v>
      </c>
      <c r="D556">
        <v>7268021</v>
      </c>
      <c r="E556" s="3" t="str">
        <f>IF($D556="","",VLOOKUP($D556,기준표!$B$4:$C$12,2,TRUE()))</f>
        <v>9단계</v>
      </c>
      <c r="F556" s="1" t="s">
        <v>119</v>
      </c>
    </row>
    <row r="557" spans="1:6" ht="16.5" customHeight="1">
      <c r="A557" t="s">
        <v>142</v>
      </c>
      <c r="B557">
        <v>31</v>
      </c>
      <c r="C557" s="1" t="s">
        <v>122</v>
      </c>
      <c r="D557">
        <v>7262550</v>
      </c>
      <c r="E557" s="3" t="str">
        <f>IF($D557="","",VLOOKUP($D557,기준표!$B$4:$C$12,2,TRUE()))</f>
        <v>9단계</v>
      </c>
      <c r="F557" s="1" t="s">
        <v>119</v>
      </c>
    </row>
    <row r="558" spans="1:6" ht="16.5" customHeight="1">
      <c r="A558" t="s">
        <v>142</v>
      </c>
      <c r="B558">
        <v>32</v>
      </c>
      <c r="C558" s="1" t="s">
        <v>74</v>
      </c>
      <c r="D558">
        <v>7199100</v>
      </c>
      <c r="E558" s="3" t="str">
        <f>IF($D558="","",VLOOKUP($D558,기준표!$B$4:$C$12,2,TRUE()))</f>
        <v>9단계</v>
      </c>
      <c r="F558" s="1" t="s">
        <v>119</v>
      </c>
    </row>
    <row r="559" spans="1:6" ht="16.5" customHeight="1">
      <c r="A559" t="s">
        <v>142</v>
      </c>
      <c r="B559">
        <v>33</v>
      </c>
      <c r="C559" s="1" t="s">
        <v>93</v>
      </c>
      <c r="D559">
        <v>6438549</v>
      </c>
      <c r="E559" s="3" t="str">
        <f>IF($D559="","",VLOOKUP($D559,기준표!$B$4:$C$12,2,TRUE()))</f>
        <v>8단계</v>
      </c>
      <c r="F559" s="1" t="s">
        <v>119</v>
      </c>
    </row>
    <row r="560" spans="1:6" ht="16.5" customHeight="1">
      <c r="A560" t="s">
        <v>142</v>
      </c>
      <c r="B560">
        <v>34</v>
      </c>
      <c r="C560" s="1" t="s">
        <v>100</v>
      </c>
      <c r="D560">
        <v>6305550</v>
      </c>
      <c r="E560" s="3" t="str">
        <f>IF($D560="","",VLOOKUP($D560,기준표!$B$4:$C$12,2,TRUE()))</f>
        <v>8단계</v>
      </c>
      <c r="F560" s="1" t="s">
        <v>119</v>
      </c>
    </row>
    <row r="561" spans="1:6" ht="16.5" customHeight="1">
      <c r="A561" t="s">
        <v>142</v>
      </c>
      <c r="B561">
        <v>35</v>
      </c>
      <c r="C561" t="s">
        <v>6</v>
      </c>
      <c r="D561">
        <v>6256712</v>
      </c>
      <c r="E561" s="3" t="str">
        <f>IF($D561="","",VLOOKUP($D561,기준표!$B$4:$C$12,2,TRUE()))</f>
        <v>8단계</v>
      </c>
      <c r="F561" s="1" t="s">
        <v>119</v>
      </c>
    </row>
    <row r="562" spans="1:6" ht="16.5" customHeight="1">
      <c r="A562" t="s">
        <v>142</v>
      </c>
      <c r="B562">
        <v>36</v>
      </c>
      <c r="C562" s="1" t="s">
        <v>8</v>
      </c>
      <c r="D562">
        <v>5975839</v>
      </c>
      <c r="E562" s="3" t="str">
        <f>IF($D562="","",VLOOKUP($D562,기준표!$B$4:$C$12,2,TRUE()))</f>
        <v>8단계</v>
      </c>
      <c r="F562" s="1" t="s">
        <v>119</v>
      </c>
    </row>
    <row r="563" spans="1:6" ht="16.5" customHeight="1">
      <c r="A563" t="s">
        <v>142</v>
      </c>
      <c r="B563">
        <v>37</v>
      </c>
      <c r="C563" s="1" t="s">
        <v>88</v>
      </c>
      <c r="D563">
        <v>5457005</v>
      </c>
      <c r="E563" s="3" t="str">
        <f>IF($D563="","",VLOOKUP($D563,기준표!$B$4:$C$12,2,TRUE()))</f>
        <v>8단계</v>
      </c>
      <c r="F563" s="1" t="s">
        <v>119</v>
      </c>
    </row>
    <row r="564" spans="1:6" ht="16.5" customHeight="1">
      <c r="A564" t="s">
        <v>142</v>
      </c>
      <c r="B564">
        <v>38</v>
      </c>
      <c r="C564" s="1" t="s">
        <v>81</v>
      </c>
      <c r="D564">
        <v>4986640</v>
      </c>
      <c r="E564" s="3" t="str">
        <f>IF($D564="","",VLOOKUP($D564,기준표!$B$4:$C$12,2,TRUE()))</f>
        <v>8단계</v>
      </c>
      <c r="F564" s="1" t="s">
        <v>119</v>
      </c>
    </row>
    <row r="565" spans="1:6" ht="16.5" customHeight="1">
      <c r="A565" t="s">
        <v>142</v>
      </c>
      <c r="B565">
        <v>39</v>
      </c>
      <c r="C565" s="1" t="s">
        <v>94</v>
      </c>
      <c r="D565">
        <v>4790211</v>
      </c>
      <c r="E565" s="3" t="str">
        <f>IF($D565="","",VLOOKUP($D565,기준표!$B$4:$C$12,2,TRUE()))</f>
        <v>8단계</v>
      </c>
      <c r="F565" s="1" t="s">
        <v>119</v>
      </c>
    </row>
    <row r="566" spans="1:6" ht="16.5" customHeight="1">
      <c r="A566" t="s">
        <v>142</v>
      </c>
      <c r="B566">
        <v>40</v>
      </c>
      <c r="C566" s="1" t="s">
        <v>62</v>
      </c>
      <c r="D566">
        <v>4641110</v>
      </c>
      <c r="E566" s="3" t="str">
        <f>IF($D566="","",VLOOKUP($D566,기준표!$B$4:$C$12,2,TRUE()))</f>
        <v>8단계</v>
      </c>
      <c r="F566" s="1" t="s">
        <v>119</v>
      </c>
    </row>
    <row r="567" spans="1:6" ht="16.5" customHeight="1">
      <c r="A567" t="s">
        <v>142</v>
      </c>
      <c r="B567">
        <v>41</v>
      </c>
      <c r="C567" s="1" t="s">
        <v>129</v>
      </c>
      <c r="D567">
        <v>4219650</v>
      </c>
      <c r="E567" s="3" t="str">
        <f>IF($D567="","",VLOOKUP($D567,기준표!$B$4:$C$12,2,TRUE()))</f>
        <v>8단계</v>
      </c>
      <c r="F567" s="1" t="s">
        <v>119</v>
      </c>
    </row>
    <row r="568" spans="1:6" ht="16.5" customHeight="1">
      <c r="A568" t="s">
        <v>142</v>
      </c>
      <c r="B568">
        <v>42</v>
      </c>
      <c r="C568" s="1" t="s">
        <v>95</v>
      </c>
      <c r="D568">
        <v>4114834</v>
      </c>
      <c r="E568" s="3" t="str">
        <f>IF($D568="","",VLOOKUP($D568,기준표!$B$4:$C$12,2,TRUE()))</f>
        <v>8단계</v>
      </c>
      <c r="F568" s="1" t="s">
        <v>119</v>
      </c>
    </row>
    <row r="569" spans="1:6" ht="16.5" customHeight="1">
      <c r="A569" t="s">
        <v>142</v>
      </c>
      <c r="B569">
        <v>43</v>
      </c>
      <c r="C569" s="1" t="s">
        <v>78</v>
      </c>
      <c r="D569">
        <v>3980450</v>
      </c>
      <c r="E569" s="3" t="str">
        <f>IF($D569="","",VLOOKUP($D569,기준표!$B$4:$C$12,2,TRUE()))</f>
        <v>8단계</v>
      </c>
      <c r="F569" s="1" t="s">
        <v>119</v>
      </c>
    </row>
    <row r="570" spans="1:6" ht="16.5" customHeight="1">
      <c r="A570" t="s">
        <v>142</v>
      </c>
      <c r="B570">
        <v>44</v>
      </c>
      <c r="C570" s="1" t="s">
        <v>96</v>
      </c>
      <c r="D570">
        <v>3978385</v>
      </c>
      <c r="E570" s="3" t="str">
        <f>IF($D570="","",VLOOKUP($D570,기준표!$B$4:$C$12,2,TRUE()))</f>
        <v>8단계</v>
      </c>
      <c r="F570" s="1" t="s">
        <v>119</v>
      </c>
    </row>
    <row r="571" spans="1:6" ht="16.5" customHeight="1">
      <c r="A571" t="s">
        <v>142</v>
      </c>
      <c r="B571">
        <v>45</v>
      </c>
      <c r="C571" s="1" t="s">
        <v>105</v>
      </c>
      <c r="D571">
        <v>3855010</v>
      </c>
      <c r="E571" s="3" t="str">
        <f>IF($D571="","",VLOOKUP($D571,기준표!$B$4:$C$12,2,TRUE()))</f>
        <v>8단계</v>
      </c>
      <c r="F571" s="1" t="s">
        <v>119</v>
      </c>
    </row>
    <row r="572" spans="1:6" ht="16.5" customHeight="1">
      <c r="A572" t="s">
        <v>142</v>
      </c>
      <c r="B572">
        <v>46</v>
      </c>
      <c r="C572" s="1" t="s">
        <v>79</v>
      </c>
      <c r="D572">
        <v>3831557</v>
      </c>
      <c r="E572" s="3" t="str">
        <f>IF($D572="","",VLOOKUP($D572,기준표!$B$4:$C$12,2,TRUE()))</f>
        <v>8단계</v>
      </c>
      <c r="F572" s="1" t="s">
        <v>119</v>
      </c>
    </row>
    <row r="573" spans="1:6" ht="16.5" customHeight="1">
      <c r="A573" t="s">
        <v>142</v>
      </c>
      <c r="B573">
        <v>47</v>
      </c>
      <c r="C573" s="1" t="s">
        <v>120</v>
      </c>
      <c r="D573">
        <v>3762000</v>
      </c>
      <c r="E573" s="3" t="str">
        <f>IF($D573="","",VLOOKUP($D573,기준표!$B$4:$C$12,2,TRUE()))</f>
        <v>8단계</v>
      </c>
      <c r="F573" s="1" t="s">
        <v>119</v>
      </c>
    </row>
    <row r="574" spans="1:6" ht="16.5" customHeight="1">
      <c r="A574" t="s">
        <v>142</v>
      </c>
      <c r="B574">
        <v>48</v>
      </c>
      <c r="C574" s="1" t="s">
        <v>136</v>
      </c>
      <c r="D574">
        <v>3688908</v>
      </c>
      <c r="E574" s="3" t="str">
        <f>IF($D574="","",VLOOKUP($D574,기준표!$B$4:$C$12,2,TRUE()))</f>
        <v>8단계</v>
      </c>
      <c r="F574" s="1" t="s">
        <v>119</v>
      </c>
    </row>
    <row r="575" spans="1:6" ht="16.5" customHeight="1">
      <c r="A575" t="s">
        <v>142</v>
      </c>
      <c r="B575">
        <v>49</v>
      </c>
      <c r="C575" s="1" t="s">
        <v>103</v>
      </c>
      <c r="D575">
        <v>3636167</v>
      </c>
      <c r="E575" s="3" t="str">
        <f>IF($D575="","",VLOOKUP($D575,기준표!$B$4:$C$12,2,TRUE()))</f>
        <v>8단계</v>
      </c>
      <c r="F575" s="1" t="s">
        <v>119</v>
      </c>
    </row>
    <row r="576" spans="1:6" ht="16.5" customHeight="1">
      <c r="A576" t="s">
        <v>142</v>
      </c>
      <c r="B576">
        <v>50</v>
      </c>
      <c r="C576" s="1" t="s">
        <v>92</v>
      </c>
      <c r="D576">
        <v>3360000</v>
      </c>
      <c r="E576" s="3" t="str">
        <f>IF($D576="","",VLOOKUP($D576,기준표!$B$4:$C$12,2,TRUE()))</f>
        <v>8단계</v>
      </c>
      <c r="F576" s="1" t="s">
        <v>119</v>
      </c>
    </row>
    <row r="577" spans="1:6" ht="16.5" customHeight="1">
      <c r="A577" t="s">
        <v>142</v>
      </c>
      <c r="B577">
        <v>51</v>
      </c>
      <c r="C577" s="1" t="s">
        <v>86</v>
      </c>
      <c r="D577">
        <v>3168792</v>
      </c>
      <c r="E577" s="3" t="str">
        <f>IF($D577="","",VLOOKUP($D577,기준표!$B$4:$C$12,2,TRUE()))</f>
        <v>8단계</v>
      </c>
      <c r="F577" s="1" t="s">
        <v>119</v>
      </c>
    </row>
    <row r="578" spans="1:6" ht="16.5" customHeight="1">
      <c r="A578" t="s">
        <v>142</v>
      </c>
      <c r="B578">
        <v>52</v>
      </c>
      <c r="C578" s="1" t="s">
        <v>58</v>
      </c>
      <c r="D578">
        <v>3131450</v>
      </c>
      <c r="E578" s="3" t="str">
        <f>IF($D578="","",VLOOKUP($D578,기준표!$B$4:$C$12,2,TRUE()))</f>
        <v>8단계</v>
      </c>
      <c r="F578" s="1" t="s">
        <v>119</v>
      </c>
    </row>
    <row r="579" spans="1:6" ht="16.5" customHeight="1">
      <c r="A579" t="s">
        <v>142</v>
      </c>
      <c r="B579">
        <v>53</v>
      </c>
      <c r="C579" s="1" t="s">
        <v>139</v>
      </c>
      <c r="D579">
        <v>2645844</v>
      </c>
      <c r="E579" s="3" t="str">
        <f>IF($D579="","",VLOOKUP($D579,기준표!$B$4:$C$12,2,TRUE()))</f>
        <v>8단계</v>
      </c>
      <c r="F579" s="1" t="s">
        <v>119</v>
      </c>
    </row>
    <row r="580" spans="1:6" ht="16.5" customHeight="1">
      <c r="A580" t="s">
        <v>142</v>
      </c>
      <c r="B580">
        <v>54</v>
      </c>
      <c r="C580" s="1" t="s">
        <v>106</v>
      </c>
      <c r="D580">
        <v>2635958</v>
      </c>
      <c r="E580" s="3" t="str">
        <f>IF($D580="","",VLOOKUP($D580,기준표!$B$4:$C$12,2,TRUE()))</f>
        <v>8단계</v>
      </c>
      <c r="F580" s="1" t="s">
        <v>119</v>
      </c>
    </row>
    <row r="581" spans="1:6" ht="16.5" customHeight="1">
      <c r="A581" t="s">
        <v>142</v>
      </c>
      <c r="B581">
        <v>55</v>
      </c>
      <c r="C581" s="1" t="s">
        <v>83</v>
      </c>
      <c r="D581">
        <v>2525220</v>
      </c>
      <c r="E581" s="3" t="str">
        <f>IF($D581="","",VLOOKUP($D581,기준표!$B$4:$C$12,2,TRUE()))</f>
        <v>7단계</v>
      </c>
      <c r="F581" s="1" t="s">
        <v>119</v>
      </c>
    </row>
    <row r="582" spans="1:6" ht="16.5" customHeight="1">
      <c r="A582" t="s">
        <v>142</v>
      </c>
      <c r="B582">
        <v>56</v>
      </c>
      <c r="C582" s="1" t="s">
        <v>135</v>
      </c>
      <c r="D582">
        <v>2481348</v>
      </c>
      <c r="E582" s="3" t="str">
        <f>IF($D582="","",VLOOKUP($D582,기준표!$B$4:$C$12,2,TRUE()))</f>
        <v>7단계</v>
      </c>
      <c r="F582" s="1" t="s">
        <v>119</v>
      </c>
    </row>
    <row r="583" spans="1:6" ht="16.5" customHeight="1">
      <c r="A583" t="s">
        <v>142</v>
      </c>
      <c r="B583">
        <v>57</v>
      </c>
      <c r="C583" s="1" t="s">
        <v>99</v>
      </c>
      <c r="D583">
        <v>2050875</v>
      </c>
      <c r="E583" s="3" t="str">
        <f>IF($D583="","",VLOOKUP($D583,기준표!$B$4:$C$12,2,TRUE()))</f>
        <v>6단계</v>
      </c>
      <c r="F583" s="1" t="s">
        <v>119</v>
      </c>
    </row>
    <row r="584" spans="1:6" ht="16.5" customHeight="1">
      <c r="A584" t="s">
        <v>142</v>
      </c>
      <c r="B584">
        <v>58</v>
      </c>
      <c r="C584" s="1" t="s">
        <v>101</v>
      </c>
      <c r="D584">
        <v>1972712</v>
      </c>
      <c r="E584" s="3" t="str">
        <f>IF($D584="","",VLOOKUP($D584,기준표!$B$4:$C$12,2,TRUE()))</f>
        <v>6단계</v>
      </c>
      <c r="F584" s="1" t="s">
        <v>119</v>
      </c>
    </row>
    <row r="585" spans="1:6" ht="16.5" customHeight="1">
      <c r="A585" t="s">
        <v>142</v>
      </c>
      <c r="B585">
        <v>59</v>
      </c>
      <c r="C585" t="s">
        <v>110</v>
      </c>
      <c r="D585">
        <v>1954450</v>
      </c>
      <c r="E585" s="3" t="str">
        <f>IF($D585="","",VLOOKUP($D585,기준표!$B$4:$C$12,2,TRUE()))</f>
        <v>6단계</v>
      </c>
      <c r="F585" s="1" t="s">
        <v>119</v>
      </c>
    </row>
    <row r="586" spans="1:6" ht="16.5" customHeight="1">
      <c r="A586" t="s">
        <v>142</v>
      </c>
      <c r="B586">
        <v>60</v>
      </c>
      <c r="C586" s="1" t="s">
        <v>102</v>
      </c>
      <c r="D586">
        <v>1712219</v>
      </c>
      <c r="E586" s="3" t="str">
        <f>IF($D586="","",VLOOKUP($D586,기준표!$B$4:$C$12,2,TRUE()))</f>
        <v>6단계</v>
      </c>
      <c r="F586" s="1" t="s">
        <v>119</v>
      </c>
    </row>
    <row r="587" spans="1:6" ht="16.5" customHeight="1">
      <c r="A587" t="s">
        <v>142</v>
      </c>
      <c r="B587">
        <v>61</v>
      </c>
      <c r="C587" s="1" t="s">
        <v>109</v>
      </c>
      <c r="D587">
        <v>1227515</v>
      </c>
      <c r="E587" s="3" t="str">
        <f>IF($D587="","",VLOOKUP($D587,기준표!$B$4:$C$12,2,TRUE()))</f>
        <v>6단계</v>
      </c>
      <c r="F587" s="1" t="s">
        <v>119</v>
      </c>
    </row>
    <row r="588" spans="1:6" ht="16.5" customHeight="1">
      <c r="A588" t="s">
        <v>142</v>
      </c>
      <c r="B588">
        <v>62</v>
      </c>
      <c r="C588" s="1" t="s">
        <v>113</v>
      </c>
      <c r="D588">
        <v>1028777</v>
      </c>
      <c r="E588" s="3" t="str">
        <f>IF($D588="","",VLOOKUP($D588,기준표!$B$4:$C$12,2,TRUE()))</f>
        <v>6단계</v>
      </c>
      <c r="F588" s="1" t="s">
        <v>119</v>
      </c>
    </row>
    <row r="589" spans="1:6" ht="16.5" customHeight="1">
      <c r="A589" t="s">
        <v>142</v>
      </c>
      <c r="B589">
        <v>63</v>
      </c>
      <c r="C589" s="1" t="s">
        <v>111</v>
      </c>
      <c r="D589">
        <v>817031</v>
      </c>
      <c r="E589" s="3" t="str">
        <f>IF($D589="","",VLOOKUP($D589,기준표!$B$4:$C$12,2,TRUE()))</f>
        <v>5단계</v>
      </c>
      <c r="F589" s="1" t="s">
        <v>119</v>
      </c>
    </row>
    <row r="590" spans="1:6" ht="16.5" customHeight="1">
      <c r="A590" t="s">
        <v>143</v>
      </c>
      <c r="B590" t="s">
        <v>116</v>
      </c>
      <c r="C590" t="s">
        <v>141</v>
      </c>
      <c r="E590" s="3" t="str">
        <f>IF($D590="","",VLOOKUP($D590,기준표!$B$4:$C$12,2,TRUE()))</f>
        <v/>
      </c>
      <c r="F590" s="1" t="s">
        <v>119</v>
      </c>
    </row>
    <row r="591" spans="1:6" ht="16.5" customHeight="1">
      <c r="A591" t="s">
        <v>143</v>
      </c>
      <c r="B591">
        <v>1</v>
      </c>
      <c r="C591" s="1" t="s">
        <v>118</v>
      </c>
      <c r="D591">
        <v>30668700</v>
      </c>
      <c r="E591" s="3" t="str">
        <f>IF($D591="","",VLOOKUP($D591,기준표!$B$4:$C$12,2,TRUE()))</f>
        <v>9단계</v>
      </c>
      <c r="F591" s="1" t="s">
        <v>119</v>
      </c>
    </row>
    <row r="592" spans="1:6" ht="16.5" customHeight="1">
      <c r="A592" t="s">
        <v>143</v>
      </c>
      <c r="B592">
        <v>2</v>
      </c>
      <c r="C592" t="s">
        <v>69</v>
      </c>
      <c r="D592">
        <v>23965650</v>
      </c>
      <c r="E592" s="3" t="str">
        <f>IF($D592="","",VLOOKUP($D592,기준표!$B$4:$C$12,2,TRUE()))</f>
        <v>9단계</v>
      </c>
      <c r="F592" s="1" t="s">
        <v>119</v>
      </c>
    </row>
    <row r="593" spans="1:6" ht="16.5" customHeight="1">
      <c r="A593" t="s">
        <v>143</v>
      </c>
      <c r="B593">
        <v>3</v>
      </c>
      <c r="C593" s="1" t="s">
        <v>120</v>
      </c>
      <c r="D593">
        <v>14411050</v>
      </c>
      <c r="E593" s="3" t="str">
        <f>IF($D593="","",VLOOKUP($D593,기준표!$B$4:$C$12,2,TRUE()))</f>
        <v>9단계</v>
      </c>
      <c r="F593" s="1" t="s">
        <v>119</v>
      </c>
    </row>
    <row r="594" spans="1:6" ht="16.5" customHeight="1">
      <c r="A594" t="s">
        <v>143</v>
      </c>
      <c r="B594">
        <v>4</v>
      </c>
      <c r="C594" s="1" t="s">
        <v>74</v>
      </c>
      <c r="D594">
        <v>13904800</v>
      </c>
      <c r="E594" s="3" t="str">
        <f>IF($D594="","",VLOOKUP($D594,기준표!$B$4:$C$12,2,TRUE()))</f>
        <v>9단계</v>
      </c>
      <c r="F594" s="1" t="s">
        <v>119</v>
      </c>
    </row>
    <row r="595" spans="1:6" ht="16.5" customHeight="1">
      <c r="A595" t="s">
        <v>143</v>
      </c>
      <c r="B595">
        <v>5</v>
      </c>
      <c r="C595" s="1" t="s">
        <v>63</v>
      </c>
      <c r="D595">
        <v>13792704</v>
      </c>
      <c r="E595" s="3" t="str">
        <f>IF($D595="","",VLOOKUP($D595,기준표!$B$4:$C$12,2,TRUE()))</f>
        <v>9단계</v>
      </c>
      <c r="F595" s="1" t="s">
        <v>119</v>
      </c>
    </row>
    <row r="596" spans="1:6" ht="16.5" customHeight="1">
      <c r="A596" t="s">
        <v>143</v>
      </c>
      <c r="B596">
        <v>6</v>
      </c>
      <c r="C596" s="1" t="s">
        <v>51</v>
      </c>
      <c r="D596">
        <v>12509250</v>
      </c>
      <c r="E596" s="3" t="str">
        <f>IF($D596="","",VLOOKUP($D596,기준표!$B$4:$C$12,2,TRUE()))</f>
        <v>9단계</v>
      </c>
      <c r="F596" s="1" t="s">
        <v>119</v>
      </c>
    </row>
    <row r="597" spans="1:6" ht="16.5" customHeight="1">
      <c r="A597" t="s">
        <v>143</v>
      </c>
      <c r="B597">
        <v>7</v>
      </c>
      <c r="C597" s="1" t="s">
        <v>61</v>
      </c>
      <c r="D597">
        <v>12183800</v>
      </c>
      <c r="E597" s="3" t="str">
        <f>IF($D597="","",VLOOKUP($D597,기준표!$B$4:$C$12,2,TRUE()))</f>
        <v>9단계</v>
      </c>
      <c r="F597" s="1" t="s">
        <v>119</v>
      </c>
    </row>
    <row r="598" spans="1:6" ht="16.5" customHeight="1">
      <c r="A598" t="s">
        <v>143</v>
      </c>
      <c r="B598">
        <v>8</v>
      </c>
      <c r="C598" s="1" t="s">
        <v>5</v>
      </c>
      <c r="D598">
        <v>11921560</v>
      </c>
      <c r="E598" s="3" t="str">
        <f>IF($D598="","",VLOOKUP($D598,기준표!$B$4:$C$12,2,TRUE()))</f>
        <v>9단계</v>
      </c>
      <c r="F598" s="1" t="s">
        <v>119</v>
      </c>
    </row>
    <row r="599" spans="1:6" ht="16.5" customHeight="1">
      <c r="A599" t="s">
        <v>143</v>
      </c>
      <c r="B599">
        <v>9</v>
      </c>
      <c r="C599" t="s">
        <v>57</v>
      </c>
      <c r="D599">
        <v>11541900</v>
      </c>
      <c r="E599" s="3" t="str">
        <f>IF($D599="","",VLOOKUP($D599,기준표!$B$4:$C$12,2,TRUE()))</f>
        <v>9단계</v>
      </c>
      <c r="F599" s="1" t="s">
        <v>119</v>
      </c>
    </row>
    <row r="600" spans="1:6" ht="16.5" customHeight="1">
      <c r="A600" t="s">
        <v>143</v>
      </c>
      <c r="B600">
        <v>10</v>
      </c>
      <c r="C600" s="1" t="s">
        <v>71</v>
      </c>
      <c r="D600">
        <v>10963100</v>
      </c>
      <c r="E600" s="3" t="str">
        <f>IF($D600="","",VLOOKUP($D600,기준표!$B$4:$C$12,2,TRUE()))</f>
        <v>9단계</v>
      </c>
      <c r="F600" s="1" t="s">
        <v>119</v>
      </c>
    </row>
    <row r="601" spans="1:6" ht="16.5" customHeight="1">
      <c r="A601" t="s">
        <v>143</v>
      </c>
      <c r="B601">
        <v>11</v>
      </c>
      <c r="C601" s="1" t="s">
        <v>67</v>
      </c>
      <c r="D601">
        <v>10683800</v>
      </c>
      <c r="E601" s="3" t="str">
        <f>IF($D601="","",VLOOKUP($D601,기준표!$B$4:$C$12,2,TRUE()))</f>
        <v>9단계</v>
      </c>
      <c r="F601" s="1" t="s">
        <v>119</v>
      </c>
    </row>
    <row r="602" spans="1:6" ht="16.5" customHeight="1">
      <c r="A602" t="s">
        <v>143</v>
      </c>
      <c r="B602">
        <v>12</v>
      </c>
      <c r="C602" s="1" t="s">
        <v>104</v>
      </c>
      <c r="D602">
        <v>10506480</v>
      </c>
      <c r="E602" s="3" t="str">
        <f>IF($D602="","",VLOOKUP($D602,기준표!$B$4:$C$12,2,TRUE()))</f>
        <v>9단계</v>
      </c>
      <c r="F602" s="1" t="s">
        <v>119</v>
      </c>
    </row>
    <row r="603" spans="1:6" ht="16.5" customHeight="1">
      <c r="A603" t="s">
        <v>143</v>
      </c>
      <c r="B603">
        <v>13</v>
      </c>
      <c r="C603" s="1" t="s">
        <v>64</v>
      </c>
      <c r="D603">
        <v>9578660</v>
      </c>
      <c r="E603" s="3" t="str">
        <f>IF($D603="","",VLOOKUP($D603,기준표!$B$4:$C$12,2,TRUE()))</f>
        <v>9단계</v>
      </c>
      <c r="F603" s="1" t="s">
        <v>119</v>
      </c>
    </row>
    <row r="604" spans="1:6" ht="16.5" customHeight="1">
      <c r="A604" t="s">
        <v>143</v>
      </c>
      <c r="B604">
        <v>14</v>
      </c>
      <c r="C604" s="1" t="s">
        <v>94</v>
      </c>
      <c r="D604">
        <v>9485998</v>
      </c>
      <c r="E604" s="3" t="str">
        <f>IF($D604="","",VLOOKUP($D604,기준표!$B$4:$C$12,2,TRUE()))</f>
        <v>9단계</v>
      </c>
      <c r="F604" s="1" t="s">
        <v>119</v>
      </c>
    </row>
    <row r="605" spans="1:6" ht="16.5" customHeight="1">
      <c r="A605" t="s">
        <v>143</v>
      </c>
      <c r="B605">
        <v>15</v>
      </c>
      <c r="C605" s="1" t="s">
        <v>126</v>
      </c>
      <c r="D605">
        <v>9399700</v>
      </c>
      <c r="E605" s="3" t="str">
        <f>IF($D605="","",VLOOKUP($D605,기준표!$B$4:$C$12,2,TRUE()))</f>
        <v>9단계</v>
      </c>
      <c r="F605" s="1" t="s">
        <v>119</v>
      </c>
    </row>
    <row r="606" spans="1:6" ht="16.5" customHeight="1">
      <c r="A606" t="s">
        <v>143</v>
      </c>
      <c r="B606">
        <v>16</v>
      </c>
      <c r="C606" s="1" t="s">
        <v>123</v>
      </c>
      <c r="D606">
        <v>9213400</v>
      </c>
      <c r="E606" s="3" t="str">
        <f>IF($D606="","",VLOOKUP($D606,기준표!$B$4:$C$12,2,TRUE()))</f>
        <v>9단계</v>
      </c>
      <c r="F606" s="1" t="s">
        <v>119</v>
      </c>
    </row>
    <row r="607" spans="1:6" ht="16.5" customHeight="1">
      <c r="A607" t="s">
        <v>143</v>
      </c>
      <c r="B607">
        <v>17</v>
      </c>
      <c r="C607" s="1" t="s">
        <v>79</v>
      </c>
      <c r="D607">
        <v>9002723</v>
      </c>
      <c r="E607" s="3" t="str">
        <f>IF($D607="","",VLOOKUP($D607,기준표!$B$4:$C$12,2,TRUE()))</f>
        <v>9단계</v>
      </c>
      <c r="F607" s="1" t="s">
        <v>119</v>
      </c>
    </row>
    <row r="608" spans="1:6" ht="16.5" customHeight="1">
      <c r="A608" t="s">
        <v>143</v>
      </c>
      <c r="B608">
        <v>18</v>
      </c>
      <c r="C608" s="1" t="s">
        <v>130</v>
      </c>
      <c r="D608">
        <v>8977652</v>
      </c>
      <c r="E608" s="3" t="str">
        <f>IF($D608="","",VLOOKUP($D608,기준표!$B$4:$C$12,2,TRUE()))</f>
        <v>9단계</v>
      </c>
      <c r="F608" s="1" t="s">
        <v>119</v>
      </c>
    </row>
    <row r="609" spans="1:6" ht="16.5" customHeight="1">
      <c r="A609" t="s">
        <v>143</v>
      </c>
      <c r="B609">
        <v>19</v>
      </c>
      <c r="C609" s="1" t="s">
        <v>84</v>
      </c>
      <c r="D609">
        <v>8740650</v>
      </c>
      <c r="E609" s="3" t="str">
        <f>IF($D609="","",VLOOKUP($D609,기준표!$B$4:$C$12,2,TRUE()))</f>
        <v>9단계</v>
      </c>
      <c r="F609" s="1" t="s">
        <v>119</v>
      </c>
    </row>
    <row r="610" spans="1:6" ht="16.5" customHeight="1">
      <c r="A610" t="s">
        <v>143</v>
      </c>
      <c r="B610">
        <v>20</v>
      </c>
      <c r="C610" s="1" t="s">
        <v>54</v>
      </c>
      <c r="D610">
        <v>8647950</v>
      </c>
      <c r="E610" s="3" t="str">
        <f>IF($D610="","",VLOOKUP($D610,기준표!$B$4:$C$12,2,TRUE()))</f>
        <v>9단계</v>
      </c>
      <c r="F610" s="1" t="s">
        <v>119</v>
      </c>
    </row>
    <row r="611" spans="1:6" ht="16.5" customHeight="1">
      <c r="A611" t="s">
        <v>143</v>
      </c>
      <c r="B611">
        <v>21</v>
      </c>
      <c r="C611" s="1" t="s">
        <v>73</v>
      </c>
      <c r="D611">
        <v>8428150</v>
      </c>
      <c r="E611" s="3" t="str">
        <f>IF($D611="","",VLOOKUP($D611,기준표!$B$4:$C$12,2,TRUE()))</f>
        <v>9단계</v>
      </c>
      <c r="F611" s="1" t="s">
        <v>119</v>
      </c>
    </row>
    <row r="612" spans="1:6" ht="16.5" customHeight="1">
      <c r="A612" t="s">
        <v>143</v>
      </c>
      <c r="B612">
        <v>22</v>
      </c>
      <c r="C612" s="1" t="s">
        <v>122</v>
      </c>
      <c r="D612">
        <v>8000100</v>
      </c>
      <c r="E612" s="3" t="str">
        <f>IF($D612="","",VLOOKUP($D612,기준표!$B$4:$C$12,2,TRUE()))</f>
        <v>9단계</v>
      </c>
      <c r="F612" s="1" t="s">
        <v>119</v>
      </c>
    </row>
    <row r="613" spans="1:6" ht="16.5" customHeight="1">
      <c r="A613" t="s">
        <v>143</v>
      </c>
      <c r="B613">
        <v>23</v>
      </c>
      <c r="C613" s="1" t="s">
        <v>62</v>
      </c>
      <c r="D613">
        <v>7972505</v>
      </c>
      <c r="E613" s="3" t="str">
        <f>IF($D613="","",VLOOKUP($D613,기준표!$B$4:$C$12,2,TRUE()))</f>
        <v>9단계</v>
      </c>
      <c r="F613" s="1" t="s">
        <v>119</v>
      </c>
    </row>
    <row r="614" spans="1:6" ht="16.5" customHeight="1">
      <c r="A614" t="s">
        <v>143</v>
      </c>
      <c r="B614">
        <v>24</v>
      </c>
      <c r="C614" s="1" t="s">
        <v>20</v>
      </c>
      <c r="D614">
        <v>7904200</v>
      </c>
      <c r="E614" s="3" t="str">
        <f>IF($D614="","",VLOOKUP($D614,기준표!$B$4:$C$12,2,TRUE()))</f>
        <v>9단계</v>
      </c>
      <c r="F614" s="1" t="s">
        <v>119</v>
      </c>
    </row>
    <row r="615" spans="1:6" ht="16.5" customHeight="1">
      <c r="A615" t="s">
        <v>143</v>
      </c>
      <c r="B615">
        <v>25</v>
      </c>
      <c r="C615" s="1" t="s">
        <v>56</v>
      </c>
      <c r="D615">
        <v>7879150</v>
      </c>
      <c r="E615" s="3" t="str">
        <f>IF($D615="","",VLOOKUP($D615,기준표!$B$4:$C$12,2,TRUE()))</f>
        <v>9단계</v>
      </c>
      <c r="F615" s="1" t="s">
        <v>119</v>
      </c>
    </row>
    <row r="616" spans="1:6" ht="16.5" customHeight="1">
      <c r="A616" t="s">
        <v>143</v>
      </c>
      <c r="B616">
        <v>26</v>
      </c>
      <c r="C616" s="1" t="s">
        <v>3</v>
      </c>
      <c r="D616">
        <v>7670475</v>
      </c>
      <c r="E616" s="3" t="str">
        <f>IF($D616="","",VLOOKUP($D616,기준표!$B$4:$C$12,2,TRUE()))</f>
        <v>9단계</v>
      </c>
      <c r="F616" s="1" t="s">
        <v>119</v>
      </c>
    </row>
    <row r="617" spans="1:6" ht="16.5" customHeight="1">
      <c r="A617" t="s">
        <v>143</v>
      </c>
      <c r="B617">
        <v>27</v>
      </c>
      <c r="C617" s="1" t="s">
        <v>17</v>
      </c>
      <c r="D617">
        <v>7645700</v>
      </c>
      <c r="E617" s="3" t="str">
        <f>IF($D617="","",VLOOKUP($D617,기준표!$B$4:$C$12,2,TRUE()))</f>
        <v>9단계</v>
      </c>
      <c r="F617" s="1" t="s">
        <v>119</v>
      </c>
    </row>
    <row r="618" spans="1:6" ht="16.5" customHeight="1">
      <c r="A618" t="s">
        <v>143</v>
      </c>
      <c r="B618">
        <v>28</v>
      </c>
      <c r="C618" s="1" t="s">
        <v>75</v>
      </c>
      <c r="D618">
        <v>7600750</v>
      </c>
      <c r="E618" s="3" t="str">
        <f>IF($D618="","",VLOOKUP($D618,기준표!$B$4:$C$12,2,TRUE()))</f>
        <v>9단계</v>
      </c>
      <c r="F618" s="1" t="s">
        <v>119</v>
      </c>
    </row>
    <row r="619" spans="1:6" ht="16.5" customHeight="1">
      <c r="A619" t="s">
        <v>143</v>
      </c>
      <c r="B619">
        <v>29</v>
      </c>
      <c r="C619" s="1" t="s">
        <v>65</v>
      </c>
      <c r="D619">
        <v>7545253</v>
      </c>
      <c r="E619" s="3" t="str">
        <f>IF($D619="","",VLOOKUP($D619,기준표!$B$4:$C$12,2,TRUE()))</f>
        <v>9단계</v>
      </c>
      <c r="F619" s="1" t="s">
        <v>119</v>
      </c>
    </row>
    <row r="620" spans="1:6" ht="16.5" customHeight="1">
      <c r="A620" t="s">
        <v>143</v>
      </c>
      <c r="B620">
        <v>30</v>
      </c>
      <c r="C620" s="1" t="s">
        <v>60</v>
      </c>
      <c r="D620">
        <v>7532700</v>
      </c>
      <c r="E620" s="3" t="str">
        <f>IF($D620="","",VLOOKUP($D620,기준표!$B$4:$C$12,2,TRUE()))</f>
        <v>9단계</v>
      </c>
      <c r="F620" s="1" t="s">
        <v>119</v>
      </c>
    </row>
    <row r="621" spans="1:6" ht="16.5" customHeight="1">
      <c r="A621" t="s">
        <v>143</v>
      </c>
      <c r="B621">
        <v>31</v>
      </c>
      <c r="C621" s="1" t="s">
        <v>129</v>
      </c>
      <c r="D621">
        <v>7481650</v>
      </c>
      <c r="E621" s="3" t="str">
        <f>IF($D621="","",VLOOKUP($D621,기준표!$B$4:$C$12,2,TRUE()))</f>
        <v>9단계</v>
      </c>
      <c r="F621" s="1" t="s">
        <v>119</v>
      </c>
    </row>
    <row r="622" spans="1:6" ht="16.5" customHeight="1">
      <c r="A622" t="s">
        <v>143</v>
      </c>
      <c r="B622">
        <v>32</v>
      </c>
      <c r="C622" s="1" t="s">
        <v>8</v>
      </c>
      <c r="D622">
        <v>7281367</v>
      </c>
      <c r="E622" s="3" t="str">
        <f>IF($D622="","",VLOOKUP($D622,기준표!$B$4:$C$12,2,TRUE()))</f>
        <v>9단계</v>
      </c>
      <c r="F622" s="1" t="s">
        <v>119</v>
      </c>
    </row>
    <row r="623" spans="1:6" ht="16.5" customHeight="1">
      <c r="A623" t="s">
        <v>143</v>
      </c>
      <c r="B623">
        <v>33</v>
      </c>
      <c r="C623" s="1" t="s">
        <v>127</v>
      </c>
      <c r="D623">
        <v>6639073</v>
      </c>
      <c r="E623" s="3" t="str">
        <f>IF($D623="","",VLOOKUP($D623,기준표!$B$4:$C$12,2,TRUE()))</f>
        <v>8단계</v>
      </c>
      <c r="F623" s="1" t="s">
        <v>119</v>
      </c>
    </row>
    <row r="624" spans="1:6" ht="16.5" customHeight="1">
      <c r="A624" t="s">
        <v>143</v>
      </c>
      <c r="B624">
        <v>34</v>
      </c>
      <c r="C624" s="1" t="s">
        <v>82</v>
      </c>
      <c r="D624">
        <v>6467550</v>
      </c>
      <c r="E624" s="3" t="str">
        <f>IF($D624="","",VLOOKUP($D624,기준표!$B$4:$C$12,2,TRUE()))</f>
        <v>8단계</v>
      </c>
      <c r="F624" s="1" t="s">
        <v>119</v>
      </c>
    </row>
    <row r="625" spans="1:6" ht="16.5" customHeight="1">
      <c r="A625" t="s">
        <v>143</v>
      </c>
      <c r="B625">
        <v>35</v>
      </c>
      <c r="C625" s="1" t="s">
        <v>77</v>
      </c>
      <c r="D625">
        <v>6122850</v>
      </c>
      <c r="E625" s="3" t="str">
        <f>IF($D625="","",VLOOKUP($D625,기준표!$B$4:$C$12,2,TRUE()))</f>
        <v>8단계</v>
      </c>
      <c r="F625" s="1" t="s">
        <v>119</v>
      </c>
    </row>
    <row r="626" spans="1:6" ht="16.5" customHeight="1">
      <c r="A626" t="s">
        <v>143</v>
      </c>
      <c r="B626">
        <v>36</v>
      </c>
      <c r="C626" s="1" t="s">
        <v>106</v>
      </c>
      <c r="D626">
        <v>6095985</v>
      </c>
      <c r="E626" s="3" t="str">
        <f>IF($D626="","",VLOOKUP($D626,기준표!$B$4:$C$12,2,TRUE()))</f>
        <v>8단계</v>
      </c>
      <c r="F626" s="1" t="s">
        <v>119</v>
      </c>
    </row>
    <row r="627" spans="1:6" ht="16.5" customHeight="1">
      <c r="A627" t="s">
        <v>143</v>
      </c>
      <c r="B627">
        <v>37</v>
      </c>
      <c r="C627" s="1" t="s">
        <v>100</v>
      </c>
      <c r="D627">
        <v>5828000</v>
      </c>
      <c r="E627" s="3" t="str">
        <f>IF($D627="","",VLOOKUP($D627,기준표!$B$4:$C$12,2,TRUE()))</f>
        <v>8단계</v>
      </c>
      <c r="F627" s="1" t="s">
        <v>119</v>
      </c>
    </row>
    <row r="628" spans="1:6" ht="16.5" customHeight="1">
      <c r="A628" t="s">
        <v>143</v>
      </c>
      <c r="B628">
        <v>38</v>
      </c>
      <c r="C628" s="1" t="s">
        <v>81</v>
      </c>
      <c r="D628">
        <v>5476229</v>
      </c>
      <c r="E628" s="3" t="str">
        <f>IF($D628="","",VLOOKUP($D628,기준표!$B$4:$C$12,2,TRUE()))</f>
        <v>8단계</v>
      </c>
      <c r="F628" s="1" t="s">
        <v>119</v>
      </c>
    </row>
    <row r="629" spans="1:6" ht="16.5" customHeight="1">
      <c r="A629" t="s">
        <v>143</v>
      </c>
      <c r="B629">
        <v>39</v>
      </c>
      <c r="C629" s="1" t="s">
        <v>85</v>
      </c>
      <c r="D629">
        <v>5012560</v>
      </c>
      <c r="E629" s="3" t="str">
        <f>IF($D629="","",VLOOKUP($D629,기준표!$B$4:$C$12,2,TRUE()))</f>
        <v>8단계</v>
      </c>
      <c r="F629" s="1" t="s">
        <v>119</v>
      </c>
    </row>
    <row r="630" spans="1:6" ht="16.5" customHeight="1">
      <c r="A630" t="s">
        <v>143</v>
      </c>
      <c r="B630">
        <v>40</v>
      </c>
      <c r="C630" t="s">
        <v>110</v>
      </c>
      <c r="D630">
        <v>4876875</v>
      </c>
      <c r="E630" s="3" t="str">
        <f>IF($D630="","",VLOOKUP($D630,기준표!$B$4:$C$12,2,TRUE()))</f>
        <v>8단계</v>
      </c>
      <c r="F630" s="1" t="s">
        <v>119</v>
      </c>
    </row>
    <row r="631" spans="1:6" ht="16.5" customHeight="1">
      <c r="A631" t="s">
        <v>143</v>
      </c>
      <c r="B631">
        <v>41</v>
      </c>
      <c r="C631" t="s">
        <v>6</v>
      </c>
      <c r="D631">
        <v>4703930</v>
      </c>
      <c r="E631" s="3" t="str">
        <f>IF($D631="","",VLOOKUP($D631,기준표!$B$4:$C$12,2,TRUE()))</f>
        <v>8단계</v>
      </c>
      <c r="F631" s="1" t="s">
        <v>119</v>
      </c>
    </row>
    <row r="632" spans="1:6" ht="16.5" customHeight="1">
      <c r="A632" t="s">
        <v>143</v>
      </c>
      <c r="B632">
        <v>42</v>
      </c>
      <c r="C632" s="1" t="s">
        <v>105</v>
      </c>
      <c r="D632">
        <v>4560570</v>
      </c>
      <c r="E632" s="3" t="str">
        <f>IF($D632="","",VLOOKUP($D632,기준표!$B$4:$C$12,2,TRUE()))</f>
        <v>8단계</v>
      </c>
      <c r="F632" s="1" t="s">
        <v>119</v>
      </c>
    </row>
    <row r="633" spans="1:6" ht="16.5" customHeight="1">
      <c r="A633" t="s">
        <v>143</v>
      </c>
      <c r="B633">
        <v>43</v>
      </c>
      <c r="C633" s="1" t="s">
        <v>80</v>
      </c>
      <c r="D633">
        <v>4518085</v>
      </c>
      <c r="E633" s="3" t="str">
        <f>IF($D633="","",VLOOKUP($D633,기준표!$B$4:$C$12,2,TRUE()))</f>
        <v>8단계</v>
      </c>
      <c r="F633" s="1" t="s">
        <v>119</v>
      </c>
    </row>
    <row r="634" spans="1:6" ht="16.5" customHeight="1">
      <c r="A634" t="s">
        <v>143</v>
      </c>
      <c r="B634">
        <v>44</v>
      </c>
      <c r="C634" s="1" t="s">
        <v>58</v>
      </c>
      <c r="D634">
        <v>4114230</v>
      </c>
      <c r="E634" s="3" t="str">
        <f>IF($D634="","",VLOOKUP($D634,기준표!$B$4:$C$12,2,TRUE()))</f>
        <v>8단계</v>
      </c>
      <c r="F634" s="1" t="s">
        <v>119</v>
      </c>
    </row>
    <row r="635" spans="1:6" ht="16.5" customHeight="1">
      <c r="A635" t="s">
        <v>143</v>
      </c>
      <c r="B635">
        <v>45</v>
      </c>
      <c r="C635" s="1" t="s">
        <v>10</v>
      </c>
      <c r="D635">
        <v>3844872</v>
      </c>
      <c r="E635" s="3" t="str">
        <f>IF($D635="","",VLOOKUP($D635,기준표!$B$4:$C$12,2,TRUE()))</f>
        <v>8단계</v>
      </c>
      <c r="F635" s="1" t="s">
        <v>119</v>
      </c>
    </row>
    <row r="636" spans="1:6" ht="16.5" customHeight="1">
      <c r="A636" t="s">
        <v>143</v>
      </c>
      <c r="B636">
        <v>46</v>
      </c>
      <c r="C636" s="1" t="s">
        <v>86</v>
      </c>
      <c r="D636">
        <v>3791697</v>
      </c>
      <c r="E636" s="3" t="str">
        <f>IF($D636="","",VLOOKUP($D636,기준표!$B$4:$C$12,2,TRUE()))</f>
        <v>8단계</v>
      </c>
      <c r="F636" s="1" t="s">
        <v>119</v>
      </c>
    </row>
    <row r="637" spans="1:6" ht="16.5" customHeight="1">
      <c r="A637" t="s">
        <v>143</v>
      </c>
      <c r="B637">
        <v>47</v>
      </c>
      <c r="C637" s="1" t="s">
        <v>83</v>
      </c>
      <c r="D637">
        <v>3691165</v>
      </c>
      <c r="E637" s="3" t="str">
        <f>IF($D637="","",VLOOKUP($D637,기준표!$B$4:$C$12,2,TRUE()))</f>
        <v>8단계</v>
      </c>
      <c r="F637" s="1" t="s">
        <v>119</v>
      </c>
    </row>
    <row r="638" spans="1:6" ht="16.5" customHeight="1">
      <c r="A638" t="s">
        <v>143</v>
      </c>
      <c r="B638">
        <v>48</v>
      </c>
      <c r="C638" s="1" t="s">
        <v>95</v>
      </c>
      <c r="D638">
        <v>3674072</v>
      </c>
      <c r="E638" s="3" t="str">
        <f>IF($D638="","",VLOOKUP($D638,기준표!$B$4:$C$12,2,TRUE()))</f>
        <v>8단계</v>
      </c>
      <c r="F638" s="1" t="s">
        <v>119</v>
      </c>
    </row>
    <row r="639" spans="1:6" ht="16.5" customHeight="1">
      <c r="A639" t="s">
        <v>143</v>
      </c>
      <c r="B639">
        <v>49</v>
      </c>
      <c r="C639" s="1" t="s">
        <v>88</v>
      </c>
      <c r="D639">
        <v>3620545</v>
      </c>
      <c r="E639" s="3" t="str">
        <f>IF($D639="","",VLOOKUP($D639,기준표!$B$4:$C$12,2,TRUE()))</f>
        <v>8단계</v>
      </c>
      <c r="F639" s="1" t="s">
        <v>119</v>
      </c>
    </row>
    <row r="640" spans="1:6" ht="16.5" customHeight="1">
      <c r="A640" t="s">
        <v>143</v>
      </c>
      <c r="B640">
        <v>50</v>
      </c>
      <c r="C640" s="1" t="s">
        <v>93</v>
      </c>
      <c r="D640">
        <v>3483423</v>
      </c>
      <c r="E640" s="3" t="str">
        <f>IF($D640="","",VLOOKUP($D640,기준표!$B$4:$C$12,2,TRUE()))</f>
        <v>8단계</v>
      </c>
      <c r="F640" s="1" t="s">
        <v>119</v>
      </c>
    </row>
    <row r="641" spans="1:6" ht="16.5" customHeight="1">
      <c r="A641" t="s">
        <v>143</v>
      </c>
      <c r="B641">
        <v>51</v>
      </c>
      <c r="C641" s="1" t="s">
        <v>96</v>
      </c>
      <c r="D641">
        <v>3451765</v>
      </c>
      <c r="E641" s="3" t="str">
        <f>IF($D641="","",VLOOKUP($D641,기준표!$B$4:$C$12,2,TRUE()))</f>
        <v>8단계</v>
      </c>
      <c r="F641" s="1" t="s">
        <v>119</v>
      </c>
    </row>
    <row r="642" spans="1:6" ht="16.5" customHeight="1">
      <c r="A642" t="s">
        <v>143</v>
      </c>
      <c r="B642">
        <v>52</v>
      </c>
      <c r="C642" s="1" t="s">
        <v>136</v>
      </c>
      <c r="D642">
        <v>3114245</v>
      </c>
      <c r="E642" s="3" t="str">
        <f>IF($D642="","",VLOOKUP($D642,기준표!$B$4:$C$12,2,TRUE()))</f>
        <v>8단계</v>
      </c>
      <c r="F642" s="1" t="s">
        <v>119</v>
      </c>
    </row>
    <row r="643" spans="1:6" ht="16.5" customHeight="1">
      <c r="A643" t="s">
        <v>143</v>
      </c>
      <c r="B643">
        <v>53</v>
      </c>
      <c r="C643" s="1" t="s">
        <v>92</v>
      </c>
      <c r="D643">
        <v>2717700</v>
      </c>
      <c r="E643" s="3" t="str">
        <f>IF($D643="","",VLOOKUP($D643,기준표!$B$4:$C$12,2,TRUE()))</f>
        <v>8단계</v>
      </c>
      <c r="F643" s="1" t="s">
        <v>119</v>
      </c>
    </row>
    <row r="644" spans="1:6" ht="16.5" customHeight="1">
      <c r="A644" t="s">
        <v>143</v>
      </c>
      <c r="B644">
        <v>54</v>
      </c>
      <c r="C644" s="1" t="s">
        <v>78</v>
      </c>
      <c r="D644">
        <v>2675425</v>
      </c>
      <c r="E644" s="3" t="str">
        <f>IF($D644="","",VLOOKUP($D644,기준표!$B$4:$C$12,2,TRUE()))</f>
        <v>8단계</v>
      </c>
      <c r="F644" s="1" t="s">
        <v>119</v>
      </c>
    </row>
    <row r="645" spans="1:6" ht="16.5" customHeight="1">
      <c r="A645" t="s">
        <v>143</v>
      </c>
      <c r="B645">
        <v>55</v>
      </c>
      <c r="C645" s="1" t="s">
        <v>103</v>
      </c>
      <c r="D645">
        <v>2567587</v>
      </c>
      <c r="E645" s="3" t="str">
        <f>IF($D645="","",VLOOKUP($D645,기준표!$B$4:$C$12,2,TRUE()))</f>
        <v>7단계</v>
      </c>
      <c r="F645" s="1" t="s">
        <v>119</v>
      </c>
    </row>
    <row r="646" spans="1:6" ht="16.5" customHeight="1">
      <c r="A646" t="s">
        <v>143</v>
      </c>
      <c r="B646">
        <v>56</v>
      </c>
      <c r="C646" s="1" t="s">
        <v>102</v>
      </c>
      <c r="D646">
        <v>2364749</v>
      </c>
      <c r="E646" s="3" t="str">
        <f>IF($D646="","",VLOOKUP($D646,기준표!$B$4:$C$12,2,TRUE()))</f>
        <v>7단계</v>
      </c>
      <c r="F646" s="1" t="s">
        <v>119</v>
      </c>
    </row>
    <row r="647" spans="1:6" ht="16.5" customHeight="1">
      <c r="A647" t="s">
        <v>143</v>
      </c>
      <c r="B647">
        <v>57</v>
      </c>
      <c r="C647" s="1" t="s">
        <v>101</v>
      </c>
      <c r="D647">
        <v>2073540</v>
      </c>
      <c r="E647" s="3" t="str">
        <f>IF($D647="","",VLOOKUP($D647,기준표!$B$4:$C$12,2,TRUE()))</f>
        <v>6단계</v>
      </c>
      <c r="F647" s="1" t="s">
        <v>119</v>
      </c>
    </row>
    <row r="648" spans="1:6" ht="16.5" customHeight="1">
      <c r="A648" t="s">
        <v>143</v>
      </c>
      <c r="B648">
        <v>58</v>
      </c>
      <c r="C648" s="1" t="s">
        <v>99</v>
      </c>
      <c r="D648">
        <v>1775750</v>
      </c>
      <c r="E648" s="3" t="str">
        <f>IF($D648="","",VLOOKUP($D648,기준표!$B$4:$C$12,2,TRUE()))</f>
        <v>6단계</v>
      </c>
      <c r="F648" s="1" t="s">
        <v>119</v>
      </c>
    </row>
    <row r="649" spans="1:6" ht="16.5" customHeight="1">
      <c r="A649" t="s">
        <v>143</v>
      </c>
      <c r="B649">
        <v>59</v>
      </c>
      <c r="C649" s="1" t="s">
        <v>113</v>
      </c>
      <c r="D649">
        <v>1711714</v>
      </c>
      <c r="E649" s="3" t="str">
        <f>IF($D649="","",VLOOKUP($D649,기준표!$B$4:$C$12,2,TRUE()))</f>
        <v>6단계</v>
      </c>
      <c r="F649" s="1" t="s">
        <v>119</v>
      </c>
    </row>
    <row r="650" spans="1:6" ht="16.5" customHeight="1">
      <c r="A650" t="s">
        <v>143</v>
      </c>
      <c r="B650">
        <v>60</v>
      </c>
      <c r="C650" s="1" t="s">
        <v>109</v>
      </c>
      <c r="D650">
        <v>1644032</v>
      </c>
      <c r="E650" s="3" t="str">
        <f>IF($D650="","",VLOOKUP($D650,기준표!$B$4:$C$12,2,TRUE()))</f>
        <v>6단계</v>
      </c>
      <c r="F650" s="1" t="s">
        <v>119</v>
      </c>
    </row>
    <row r="651" spans="1:6" ht="16.5" customHeight="1">
      <c r="A651" t="s">
        <v>143</v>
      </c>
      <c r="B651">
        <v>61</v>
      </c>
      <c r="C651" s="1" t="s">
        <v>111</v>
      </c>
      <c r="D651">
        <v>1508580</v>
      </c>
      <c r="E651" s="3" t="str">
        <f>IF($D651="","",VLOOKUP($D651,기준표!$B$4:$C$12,2,TRUE()))</f>
        <v>6단계</v>
      </c>
      <c r="F651" s="1" t="s">
        <v>119</v>
      </c>
    </row>
    <row r="652" spans="1:6" ht="16.5" customHeight="1">
      <c r="A652" t="s">
        <v>143</v>
      </c>
      <c r="B652">
        <v>62</v>
      </c>
      <c r="C652" s="1" t="s">
        <v>135</v>
      </c>
      <c r="D652">
        <v>1417835</v>
      </c>
      <c r="E652" s="3" t="str">
        <f>IF($D652="","",VLOOKUP($D652,기준표!$B$4:$C$12,2,TRUE()))</f>
        <v>6단계</v>
      </c>
      <c r="F652" s="1" t="s">
        <v>119</v>
      </c>
    </row>
    <row r="653" spans="1:6" ht="16.5" customHeight="1">
      <c r="A653" t="s">
        <v>143</v>
      </c>
      <c r="B653">
        <v>63</v>
      </c>
      <c r="C653" s="1" t="s">
        <v>139</v>
      </c>
      <c r="D653">
        <v>1233629</v>
      </c>
      <c r="E653" s="3" t="str">
        <f>IF($D653="","",VLOOKUP($D653,기준표!$B$4:$C$12,2,TRUE()))</f>
        <v>6단계</v>
      </c>
      <c r="F653" s="1" t="s">
        <v>119</v>
      </c>
    </row>
    <row r="654" spans="1:6" ht="16.5" customHeight="1">
      <c r="A654" t="s">
        <v>144</v>
      </c>
      <c r="B654">
        <v>1</v>
      </c>
      <c r="C654" s="1" t="s">
        <v>118</v>
      </c>
      <c r="D654">
        <v>57341882</v>
      </c>
      <c r="E654" t="str">
        <f>IF($D654="","",VLOOKUP($D654,기준표!$B$4:$C$12,2,TRUE()))</f>
        <v>9단계</v>
      </c>
      <c r="F654" s="1" t="s">
        <v>119</v>
      </c>
    </row>
    <row r="655" spans="1:6" ht="16.5" customHeight="1">
      <c r="A655" t="s">
        <v>144</v>
      </c>
      <c r="B655">
        <v>2</v>
      </c>
      <c r="C655" s="1" t="s">
        <v>71</v>
      </c>
      <c r="D655">
        <v>48418699</v>
      </c>
      <c r="E655" t="str">
        <f>IF($D655="","",VLOOKUP($D655,기준표!$B$4:$C$12,2,TRUE()))</f>
        <v>9단계</v>
      </c>
      <c r="F655" s="1" t="s">
        <v>119</v>
      </c>
    </row>
    <row r="656" spans="1:6" ht="16.5" customHeight="1">
      <c r="A656" t="s">
        <v>144</v>
      </c>
      <c r="B656">
        <v>3</v>
      </c>
      <c r="C656" s="1" t="s">
        <v>73</v>
      </c>
      <c r="D656">
        <v>45125669</v>
      </c>
      <c r="E656" t="str">
        <f>IF($D656="","",VLOOKUP($D656,기준표!$B$4:$C$12,2,TRUE()))</f>
        <v>9단계</v>
      </c>
      <c r="F656" s="1" t="s">
        <v>119</v>
      </c>
    </row>
    <row r="657" spans="1:6" ht="16.5" customHeight="1">
      <c r="A657" t="s">
        <v>144</v>
      </c>
      <c r="B657">
        <v>4</v>
      </c>
      <c r="C657" s="1" t="s">
        <v>126</v>
      </c>
      <c r="D657">
        <v>34636053</v>
      </c>
      <c r="E657" t="str">
        <f>IF($D657="","",VLOOKUP($D657,기준표!$B$4:$C$12,2,TRUE()))</f>
        <v>9단계</v>
      </c>
      <c r="F657" s="1" t="s">
        <v>119</v>
      </c>
    </row>
    <row r="658" spans="1:6" ht="16.5" customHeight="1">
      <c r="A658" t="s">
        <v>144</v>
      </c>
      <c r="B658">
        <v>5</v>
      </c>
      <c r="C658" s="1" t="s">
        <v>56</v>
      </c>
      <c r="D658">
        <v>28749516</v>
      </c>
      <c r="E658" t="str">
        <f>IF($D658="","",VLOOKUP($D658,기준표!$B$4:$C$12,2,TRUE()))</f>
        <v>9단계</v>
      </c>
      <c r="F658" s="1" t="s">
        <v>119</v>
      </c>
    </row>
    <row r="659" spans="1:6" ht="16.5" customHeight="1">
      <c r="A659" t="s">
        <v>144</v>
      </c>
      <c r="B659">
        <v>6</v>
      </c>
      <c r="C659" t="s">
        <v>69</v>
      </c>
      <c r="D659">
        <v>28509472</v>
      </c>
      <c r="E659" t="str">
        <f>IF($D659="","",VLOOKUP($D659,기준표!$B$4:$C$12,2,TRUE()))</f>
        <v>9단계</v>
      </c>
      <c r="F659" s="1" t="s">
        <v>119</v>
      </c>
    </row>
    <row r="660" spans="1:6" ht="16.5" customHeight="1">
      <c r="A660" t="s">
        <v>144</v>
      </c>
      <c r="B660">
        <v>7</v>
      </c>
      <c r="C660" s="1" t="s">
        <v>75</v>
      </c>
      <c r="D660">
        <v>26965963</v>
      </c>
      <c r="E660" t="str">
        <f>IF($D660="","",VLOOKUP($D660,기준표!$B$4:$C$12,2,TRUE()))</f>
        <v>9단계</v>
      </c>
      <c r="F660" s="1" t="s">
        <v>119</v>
      </c>
    </row>
    <row r="661" spans="1:6" ht="16.5" customHeight="1">
      <c r="A661" t="s">
        <v>144</v>
      </c>
      <c r="B661">
        <v>8</v>
      </c>
      <c r="C661" s="1" t="s">
        <v>5</v>
      </c>
      <c r="D661">
        <v>26884502</v>
      </c>
      <c r="E661" t="str">
        <f>IF($D661="","",VLOOKUP($D661,기준표!$B$4:$C$12,2,TRUE()))</f>
        <v>9단계</v>
      </c>
      <c r="F661" s="1" t="s">
        <v>119</v>
      </c>
    </row>
    <row r="662" spans="1:6" ht="16.5" customHeight="1">
      <c r="A662" t="s">
        <v>144</v>
      </c>
      <c r="B662">
        <v>9</v>
      </c>
      <c r="C662" s="1" t="s">
        <v>54</v>
      </c>
      <c r="D662">
        <v>25278785</v>
      </c>
      <c r="E662" t="str">
        <f>IF($D662="","",VLOOKUP($D662,기준표!$B$4:$C$12,2,TRUE()))</f>
        <v>9단계</v>
      </c>
      <c r="F662" s="1" t="s">
        <v>119</v>
      </c>
    </row>
    <row r="663" spans="1:6" ht="16.5" customHeight="1">
      <c r="A663" t="s">
        <v>144</v>
      </c>
      <c r="B663">
        <v>10</v>
      </c>
      <c r="C663" s="1" t="s">
        <v>130</v>
      </c>
      <c r="D663">
        <v>22608214</v>
      </c>
      <c r="E663" t="str">
        <f>IF($D663="","",VLOOKUP($D663,기준표!$B$4:$C$12,2,TRUE()))</f>
        <v>9단계</v>
      </c>
      <c r="F663" s="1" t="s">
        <v>119</v>
      </c>
    </row>
    <row r="664" spans="1:6" ht="16.5" customHeight="1">
      <c r="A664" t="s">
        <v>144</v>
      </c>
      <c r="B664">
        <v>11</v>
      </c>
      <c r="C664" s="1" t="s">
        <v>61</v>
      </c>
      <c r="D664">
        <v>20460055</v>
      </c>
      <c r="E664" t="str">
        <f>IF($D664="","",VLOOKUP($D664,기준표!$B$4:$C$12,2,TRUE()))</f>
        <v>9단계</v>
      </c>
      <c r="F664" s="1" t="s">
        <v>119</v>
      </c>
    </row>
    <row r="665" spans="1:6" ht="16.5" customHeight="1">
      <c r="A665" t="s">
        <v>144</v>
      </c>
      <c r="B665">
        <v>12</v>
      </c>
      <c r="C665" t="s">
        <v>57</v>
      </c>
      <c r="D665">
        <v>20312818</v>
      </c>
      <c r="E665" t="str">
        <f>IF($D665="","",VLOOKUP($D665,기준표!$B$4:$C$12,2,TRUE()))</f>
        <v>9단계</v>
      </c>
      <c r="F665" s="1" t="s">
        <v>119</v>
      </c>
    </row>
    <row r="666" spans="1:6" ht="16.5" customHeight="1">
      <c r="A666" t="s">
        <v>144</v>
      </c>
      <c r="B666">
        <v>13</v>
      </c>
      <c r="C666" s="1" t="s">
        <v>79</v>
      </c>
      <c r="D666">
        <v>19443401</v>
      </c>
      <c r="E666" t="str">
        <f>IF($D666="","",VLOOKUP($D666,기준표!$B$4:$C$12,2,TRUE()))</f>
        <v>9단계</v>
      </c>
      <c r="F666" s="1" t="s">
        <v>119</v>
      </c>
    </row>
    <row r="667" spans="1:6" ht="16.5" customHeight="1">
      <c r="A667" t="s">
        <v>144</v>
      </c>
      <c r="B667">
        <v>14</v>
      </c>
      <c r="C667" s="1" t="s">
        <v>64</v>
      </c>
      <c r="D667">
        <v>19353639</v>
      </c>
      <c r="E667" t="str">
        <f>IF($D667="","",VLOOKUP($D667,기준표!$B$4:$C$12,2,TRUE()))</f>
        <v>9단계</v>
      </c>
      <c r="F667" s="1" t="s">
        <v>119</v>
      </c>
    </row>
    <row r="668" spans="1:6" ht="16.5" customHeight="1">
      <c r="A668" t="s">
        <v>144</v>
      </c>
      <c r="B668">
        <v>15</v>
      </c>
      <c r="C668" s="1" t="s">
        <v>85</v>
      </c>
      <c r="D668">
        <v>18733464</v>
      </c>
      <c r="E668" t="str">
        <f>IF($D668="","",VLOOKUP($D668,기준표!$B$4:$C$12,2,TRUE()))</f>
        <v>9단계</v>
      </c>
      <c r="F668" s="1" t="s">
        <v>119</v>
      </c>
    </row>
    <row r="669" spans="1:6" ht="16.5" customHeight="1">
      <c r="A669" t="s">
        <v>144</v>
      </c>
      <c r="B669">
        <v>16</v>
      </c>
      <c r="C669" s="1" t="s">
        <v>17</v>
      </c>
      <c r="D669">
        <v>18633834</v>
      </c>
      <c r="E669" t="str">
        <f>IF($D669="","",VLOOKUP($D669,기준표!$B$4:$C$12,2,TRUE()))</f>
        <v>9단계</v>
      </c>
      <c r="F669" s="1" t="s">
        <v>119</v>
      </c>
    </row>
    <row r="670" spans="1:6" ht="16.5" customHeight="1">
      <c r="A670" t="s">
        <v>144</v>
      </c>
      <c r="B670">
        <v>17</v>
      </c>
      <c r="C670" s="1" t="s">
        <v>120</v>
      </c>
      <c r="D670">
        <v>17525108</v>
      </c>
      <c r="E670" t="str">
        <f>IF($D670="","",VLOOKUP($D670,기준표!$B$4:$C$12,2,TRUE()))</f>
        <v>9단계</v>
      </c>
      <c r="F670" s="1" t="s">
        <v>119</v>
      </c>
    </row>
    <row r="671" spans="1:6" ht="16.5" customHeight="1">
      <c r="A671" t="s">
        <v>144</v>
      </c>
      <c r="B671">
        <v>18</v>
      </c>
      <c r="C671" s="1" t="s">
        <v>58</v>
      </c>
      <c r="D671">
        <v>17196200</v>
      </c>
      <c r="E671" t="str">
        <f>IF($D671="","",VLOOKUP($D671,기준표!$B$4:$C$12,2,TRUE()))</f>
        <v>9단계</v>
      </c>
      <c r="F671" s="1" t="s">
        <v>119</v>
      </c>
    </row>
    <row r="672" spans="1:6" ht="16.5" customHeight="1">
      <c r="A672" t="s">
        <v>144</v>
      </c>
      <c r="B672">
        <v>19</v>
      </c>
      <c r="C672" s="1" t="s">
        <v>20</v>
      </c>
      <c r="D672">
        <v>16995090</v>
      </c>
      <c r="E672" t="str">
        <f>IF($D672="","",VLOOKUP($D672,기준표!$B$4:$C$12,2,TRUE()))</f>
        <v>9단계</v>
      </c>
      <c r="F672" s="1" t="s">
        <v>119</v>
      </c>
    </row>
    <row r="673" spans="1:6" ht="16.5" customHeight="1">
      <c r="A673" t="s">
        <v>144</v>
      </c>
      <c r="B673">
        <v>20</v>
      </c>
      <c r="C673" s="1" t="s">
        <v>65</v>
      </c>
      <c r="D673">
        <v>15367273</v>
      </c>
      <c r="E673" t="str">
        <f>IF($D673="","",VLOOKUP($D673,기준표!$B$4:$C$12,2,TRUE()))</f>
        <v>9단계</v>
      </c>
      <c r="F673" s="1" t="s">
        <v>119</v>
      </c>
    </row>
    <row r="674" spans="1:6" ht="16.5" customHeight="1">
      <c r="A674" t="s">
        <v>144</v>
      </c>
      <c r="B674">
        <v>21</v>
      </c>
      <c r="C674" s="1" t="s">
        <v>100</v>
      </c>
      <c r="D674">
        <v>14888748</v>
      </c>
      <c r="E674" t="str">
        <f>IF($D674="","",VLOOKUP($D674,기준표!$B$4:$C$12,2,TRUE()))</f>
        <v>9단계</v>
      </c>
      <c r="F674" s="1" t="s">
        <v>119</v>
      </c>
    </row>
    <row r="675" spans="1:6" ht="16.5" customHeight="1">
      <c r="A675" t="s">
        <v>144</v>
      </c>
      <c r="B675">
        <v>22</v>
      </c>
      <c r="C675" s="1" t="s">
        <v>51</v>
      </c>
      <c r="D675">
        <v>14813424</v>
      </c>
      <c r="E675" t="str">
        <f>IF($D675="","",VLOOKUP($D675,기준표!$B$4:$C$12,2,TRUE()))</f>
        <v>9단계</v>
      </c>
      <c r="F675" s="1" t="s">
        <v>119</v>
      </c>
    </row>
    <row r="676" spans="1:6" ht="16.5" customHeight="1">
      <c r="A676" t="s">
        <v>144</v>
      </c>
      <c r="B676">
        <v>23</v>
      </c>
      <c r="C676" s="1" t="s">
        <v>3</v>
      </c>
      <c r="D676">
        <v>14355495</v>
      </c>
      <c r="E676" t="str">
        <f>IF($D676="","",VLOOKUP($D676,기준표!$B$4:$C$12,2,TRUE()))</f>
        <v>9단계</v>
      </c>
      <c r="F676" s="1" t="s">
        <v>119</v>
      </c>
    </row>
    <row r="677" spans="1:6" ht="16.5" customHeight="1">
      <c r="A677" t="s">
        <v>144</v>
      </c>
      <c r="B677">
        <v>24</v>
      </c>
      <c r="C677" s="1" t="s">
        <v>60</v>
      </c>
      <c r="D677">
        <v>14206299</v>
      </c>
      <c r="E677" t="str">
        <f>IF($D677="","",VLOOKUP($D677,기준표!$B$4:$C$12,2,TRUE()))</f>
        <v>9단계</v>
      </c>
      <c r="F677" s="1" t="s">
        <v>119</v>
      </c>
    </row>
    <row r="678" spans="1:6" ht="16.5" customHeight="1">
      <c r="A678" t="s">
        <v>144</v>
      </c>
      <c r="B678">
        <v>25</v>
      </c>
      <c r="C678" s="1" t="s">
        <v>67</v>
      </c>
      <c r="D678">
        <v>14128474</v>
      </c>
      <c r="E678" t="str">
        <f>IF($D678="","",VLOOKUP($D678,기준표!$B$4:$C$12,2,TRUE()))</f>
        <v>9단계</v>
      </c>
      <c r="F678" s="1" t="s">
        <v>119</v>
      </c>
    </row>
    <row r="679" spans="1:6" ht="16.5" customHeight="1">
      <c r="A679" t="s">
        <v>144</v>
      </c>
      <c r="B679">
        <v>26</v>
      </c>
      <c r="C679" s="1" t="s">
        <v>74</v>
      </c>
      <c r="D679">
        <v>13299680</v>
      </c>
      <c r="E679" t="str">
        <f>IF($D679="","",VLOOKUP($D679,기준표!$B$4:$C$12,2,TRUE()))</f>
        <v>9단계</v>
      </c>
      <c r="F679" s="1" t="s">
        <v>119</v>
      </c>
    </row>
    <row r="680" spans="1:6" ht="16.5" customHeight="1">
      <c r="A680" t="s">
        <v>144</v>
      </c>
      <c r="B680">
        <v>27</v>
      </c>
      <c r="C680" s="1" t="s">
        <v>93</v>
      </c>
      <c r="D680">
        <v>12727387</v>
      </c>
      <c r="E680" t="str">
        <f>IF($D680="","",VLOOKUP($D680,기준표!$B$4:$C$12,2,TRUE()))</f>
        <v>9단계</v>
      </c>
      <c r="F680" s="1" t="s">
        <v>119</v>
      </c>
    </row>
    <row r="681" spans="1:6" ht="16.5" customHeight="1">
      <c r="A681" t="s">
        <v>144</v>
      </c>
      <c r="B681">
        <v>28</v>
      </c>
      <c r="C681" s="1" t="s">
        <v>84</v>
      </c>
      <c r="D681">
        <v>12400731</v>
      </c>
      <c r="E681" t="str">
        <f>IF($D681="","",VLOOKUP($D681,기준표!$B$4:$C$12,2,TRUE()))</f>
        <v>9단계</v>
      </c>
      <c r="F681" s="1" t="s">
        <v>119</v>
      </c>
    </row>
    <row r="682" spans="1:6" ht="16.5" customHeight="1">
      <c r="A682" t="s">
        <v>144</v>
      </c>
      <c r="B682">
        <v>29</v>
      </c>
      <c r="C682" s="1" t="s">
        <v>82</v>
      </c>
      <c r="D682">
        <v>11740924</v>
      </c>
      <c r="E682" t="str">
        <f>IF($D682="","",VLOOKUP($D682,기준표!$B$4:$C$12,2,TRUE()))</f>
        <v>9단계</v>
      </c>
      <c r="F682" s="1" t="s">
        <v>119</v>
      </c>
    </row>
    <row r="683" spans="1:6" ht="16.5" customHeight="1">
      <c r="A683" t="s">
        <v>144</v>
      </c>
      <c r="B683">
        <v>30</v>
      </c>
      <c r="C683" s="1" t="s">
        <v>80</v>
      </c>
      <c r="D683">
        <v>11339927</v>
      </c>
      <c r="E683" t="str">
        <f>IF($D683="","",VLOOKUP($D683,기준표!$B$4:$C$12,2,TRUE()))</f>
        <v>9단계</v>
      </c>
      <c r="F683" s="1" t="s">
        <v>119</v>
      </c>
    </row>
    <row r="684" spans="1:6" ht="16.5" customHeight="1">
      <c r="A684" t="s">
        <v>144</v>
      </c>
      <c r="B684">
        <v>31</v>
      </c>
      <c r="C684" s="1" t="s">
        <v>63</v>
      </c>
      <c r="D684">
        <v>11330319</v>
      </c>
      <c r="E684" t="str">
        <f>IF($D684="","",VLOOKUP($D684,기준표!$B$4:$C$12,2,TRUE()))</f>
        <v>9단계</v>
      </c>
      <c r="F684" s="1" t="s">
        <v>119</v>
      </c>
    </row>
    <row r="685" spans="1:6" ht="16.5" customHeight="1">
      <c r="A685" t="s">
        <v>144</v>
      </c>
      <c r="B685">
        <v>32</v>
      </c>
      <c r="C685" s="1" t="s">
        <v>127</v>
      </c>
      <c r="D685">
        <v>11246183</v>
      </c>
      <c r="E685" t="str">
        <f>IF($D685="","",VLOOKUP($D685,기준표!$B$4:$C$12,2,TRUE()))</f>
        <v>9단계</v>
      </c>
      <c r="F685" s="1" t="s">
        <v>119</v>
      </c>
    </row>
    <row r="686" spans="1:6" ht="16.5" customHeight="1">
      <c r="A686" t="s">
        <v>144</v>
      </c>
      <c r="B686">
        <v>33</v>
      </c>
      <c r="C686" s="1" t="s">
        <v>8</v>
      </c>
      <c r="D686">
        <v>10493041</v>
      </c>
      <c r="E686" t="str">
        <f>IF($D686="","",VLOOKUP($D686,기준표!$B$4:$C$12,2,TRUE()))</f>
        <v>9단계</v>
      </c>
      <c r="F686" s="1" t="s">
        <v>119</v>
      </c>
    </row>
    <row r="687" spans="1:6" ht="16.5" customHeight="1">
      <c r="A687" t="s">
        <v>144</v>
      </c>
      <c r="B687">
        <v>34</v>
      </c>
      <c r="C687" s="1" t="s">
        <v>7</v>
      </c>
      <c r="D687">
        <v>10428030</v>
      </c>
      <c r="E687" t="str">
        <f>IF($D687="","",VLOOKUP($D687,기준표!$B$4:$C$12,2,TRUE()))</f>
        <v>9단계</v>
      </c>
      <c r="F687" s="1" t="s">
        <v>119</v>
      </c>
    </row>
    <row r="688" spans="1:6" ht="16.5" customHeight="1">
      <c r="A688" t="s">
        <v>144</v>
      </c>
      <c r="B688">
        <v>35</v>
      </c>
      <c r="C688" s="1" t="s">
        <v>95</v>
      </c>
      <c r="D688">
        <v>10416262</v>
      </c>
      <c r="E688" t="str">
        <f>IF($D688="","",VLOOKUP($D688,기준표!$B$4:$C$12,2,TRUE()))</f>
        <v>9단계</v>
      </c>
      <c r="F688" s="1" t="s">
        <v>119</v>
      </c>
    </row>
    <row r="689" spans="1:6" ht="16.5" customHeight="1">
      <c r="A689" t="s">
        <v>144</v>
      </c>
      <c r="B689">
        <v>36</v>
      </c>
      <c r="C689" s="1" t="s">
        <v>78</v>
      </c>
      <c r="D689">
        <v>10356620</v>
      </c>
      <c r="E689" t="str">
        <f>IF($D689="","",VLOOKUP($D689,기준표!$B$4:$C$12,2,TRUE()))</f>
        <v>9단계</v>
      </c>
      <c r="F689" s="1" t="s">
        <v>119</v>
      </c>
    </row>
    <row r="690" spans="1:6" ht="16.5" customHeight="1">
      <c r="A690" t="s">
        <v>144</v>
      </c>
      <c r="B690">
        <v>37</v>
      </c>
      <c r="C690" s="1" t="s">
        <v>123</v>
      </c>
      <c r="D690">
        <v>10018283</v>
      </c>
      <c r="E690" t="str">
        <f>IF($D690="","",VLOOKUP($D690,기준표!$B$4:$C$12,2,TRUE()))</f>
        <v>9단계</v>
      </c>
      <c r="F690" s="1" t="s">
        <v>119</v>
      </c>
    </row>
    <row r="691" spans="1:6" ht="16.5" customHeight="1">
      <c r="A691" t="s">
        <v>144</v>
      </c>
      <c r="B691">
        <v>38</v>
      </c>
      <c r="C691" s="1" t="s">
        <v>136</v>
      </c>
      <c r="D691">
        <v>9839284</v>
      </c>
      <c r="E691" t="str">
        <f>IF($D691="","",VLOOKUP($D691,기준표!$B$4:$C$12,2,TRUE()))</f>
        <v>9단계</v>
      </c>
      <c r="F691" s="1" t="s">
        <v>119</v>
      </c>
    </row>
    <row r="692" spans="1:6" ht="16.5" customHeight="1">
      <c r="A692" t="s">
        <v>144</v>
      </c>
      <c r="B692">
        <v>39</v>
      </c>
      <c r="C692" s="1" t="s">
        <v>122</v>
      </c>
      <c r="D692">
        <v>9772204</v>
      </c>
      <c r="E692" t="str">
        <f>IF($D692="","",VLOOKUP($D692,기준표!$B$4:$C$12,2,TRUE()))</f>
        <v>9단계</v>
      </c>
      <c r="F692" s="1" t="s">
        <v>119</v>
      </c>
    </row>
    <row r="693" spans="1:6" ht="16.5" customHeight="1">
      <c r="A693" t="s">
        <v>144</v>
      </c>
      <c r="B693">
        <v>40</v>
      </c>
      <c r="C693" s="1" t="s">
        <v>86</v>
      </c>
      <c r="D693">
        <v>9392907</v>
      </c>
      <c r="E693" t="str">
        <f>IF($D693="","",VLOOKUP($D693,기준표!$B$4:$C$12,2,TRUE()))</f>
        <v>9단계</v>
      </c>
      <c r="F693" s="1" t="s">
        <v>119</v>
      </c>
    </row>
    <row r="694" spans="1:6" ht="16.5" customHeight="1">
      <c r="A694" t="s">
        <v>144</v>
      </c>
      <c r="B694">
        <v>41</v>
      </c>
      <c r="C694" s="1" t="s">
        <v>94</v>
      </c>
      <c r="D694">
        <v>9316000</v>
      </c>
      <c r="E694" t="str">
        <f>IF($D694="","",VLOOKUP($D694,기준표!$B$4:$C$12,2,TRUE()))</f>
        <v>9단계</v>
      </c>
      <c r="F694" s="1" t="s">
        <v>119</v>
      </c>
    </row>
    <row r="695" spans="1:6" ht="16.5" customHeight="1">
      <c r="A695" t="s">
        <v>144</v>
      </c>
      <c r="B695">
        <v>42</v>
      </c>
      <c r="C695" s="1" t="s">
        <v>10</v>
      </c>
      <c r="D695">
        <v>9294028</v>
      </c>
      <c r="E695" t="str">
        <f>IF($D695="","",VLOOKUP($D695,기준표!$B$4:$C$12,2,TRUE()))</f>
        <v>9단계</v>
      </c>
      <c r="F695" s="1" t="s">
        <v>119</v>
      </c>
    </row>
    <row r="696" spans="1:6" ht="16.5" customHeight="1">
      <c r="A696" t="s">
        <v>144</v>
      </c>
      <c r="B696">
        <v>43</v>
      </c>
      <c r="C696" s="1" t="s">
        <v>105</v>
      </c>
      <c r="D696">
        <v>9160215</v>
      </c>
      <c r="E696" t="str">
        <f>IF($D696="","",VLOOKUP($D696,기준표!$B$4:$C$12,2,TRUE()))</f>
        <v>9단계</v>
      </c>
      <c r="F696" s="1" t="s">
        <v>119</v>
      </c>
    </row>
    <row r="697" spans="1:6" ht="16.5" customHeight="1">
      <c r="A697" t="s">
        <v>144</v>
      </c>
      <c r="B697">
        <v>44</v>
      </c>
      <c r="C697" s="1" t="s">
        <v>81</v>
      </c>
      <c r="D697">
        <v>9085643</v>
      </c>
      <c r="E697" t="str">
        <f>IF($D697="","",VLOOKUP($D697,기준표!$B$4:$C$12,2,TRUE()))</f>
        <v>9단계</v>
      </c>
      <c r="F697" s="1" t="s">
        <v>119</v>
      </c>
    </row>
    <row r="698" spans="1:6" ht="16.5" customHeight="1">
      <c r="A698" t="s">
        <v>144</v>
      </c>
      <c r="B698">
        <v>45</v>
      </c>
      <c r="C698" s="1" t="s">
        <v>104</v>
      </c>
      <c r="D698">
        <v>9083102</v>
      </c>
      <c r="E698" t="str">
        <f>IF($D698="","",VLOOKUP($D698,기준표!$B$4:$C$12,2,TRUE()))</f>
        <v>9단계</v>
      </c>
      <c r="F698" s="1" t="s">
        <v>119</v>
      </c>
    </row>
    <row r="699" spans="1:6" ht="16.5" customHeight="1">
      <c r="A699" t="s">
        <v>144</v>
      </c>
      <c r="B699">
        <v>46</v>
      </c>
      <c r="C699" s="1" t="s">
        <v>106</v>
      </c>
      <c r="D699">
        <v>9026837</v>
      </c>
      <c r="E699" t="str">
        <f>IF($D699="","",VLOOKUP($D699,기준표!$B$4:$C$12,2,TRUE()))</f>
        <v>9단계</v>
      </c>
      <c r="F699" s="1" t="s">
        <v>119</v>
      </c>
    </row>
    <row r="700" spans="1:6" ht="16.5" customHeight="1">
      <c r="A700" t="s">
        <v>144</v>
      </c>
      <c r="B700">
        <v>47</v>
      </c>
      <c r="C700" s="1" t="s">
        <v>129</v>
      </c>
      <c r="D700">
        <v>8848045</v>
      </c>
      <c r="E700" t="str">
        <f>IF($D700="","",VLOOKUP($D700,기준표!$B$4:$C$12,2,TRUE()))</f>
        <v>9단계</v>
      </c>
      <c r="F700" s="1" t="s">
        <v>119</v>
      </c>
    </row>
    <row r="701" spans="1:6" ht="16.5" customHeight="1">
      <c r="A701" t="s">
        <v>144</v>
      </c>
      <c r="B701">
        <v>48</v>
      </c>
      <c r="C701" s="1" t="s">
        <v>77</v>
      </c>
      <c r="D701">
        <v>8680522</v>
      </c>
      <c r="E701" t="str">
        <f>IF($D701="","",VLOOKUP($D701,기준표!$B$4:$C$12,2,TRUE()))</f>
        <v>9단계</v>
      </c>
      <c r="F701" s="1" t="s">
        <v>119</v>
      </c>
    </row>
    <row r="702" spans="1:6" ht="16.5" customHeight="1">
      <c r="A702" t="s">
        <v>144</v>
      </c>
      <c r="B702">
        <v>49</v>
      </c>
      <c r="C702" s="1" t="s">
        <v>62</v>
      </c>
      <c r="D702">
        <v>8370359</v>
      </c>
      <c r="E702" t="str">
        <f>IF($D702="","",VLOOKUP($D702,기준표!$B$4:$C$12,2,TRUE()))</f>
        <v>9단계</v>
      </c>
      <c r="F702" s="1" t="s">
        <v>119</v>
      </c>
    </row>
    <row r="703" spans="1:6" ht="16.5" customHeight="1">
      <c r="A703" t="s">
        <v>144</v>
      </c>
      <c r="B703">
        <v>50</v>
      </c>
      <c r="C703" s="1" t="s">
        <v>96</v>
      </c>
      <c r="D703">
        <v>7696527</v>
      </c>
      <c r="E703" t="str">
        <f>IF($D703="","",VLOOKUP($D703,기준표!$B$4:$C$12,2,TRUE()))</f>
        <v>9단계</v>
      </c>
      <c r="F703" s="1" t="s">
        <v>119</v>
      </c>
    </row>
    <row r="704" spans="1:6" ht="16.5" customHeight="1">
      <c r="A704" t="s">
        <v>144</v>
      </c>
      <c r="B704">
        <v>51</v>
      </c>
      <c r="C704" s="1" t="s">
        <v>92</v>
      </c>
      <c r="D704">
        <v>3906582</v>
      </c>
      <c r="E704" t="str">
        <f>IF($D704="","",VLOOKUP($D704,기준표!$B$4:$C$12,2,TRUE()))</f>
        <v>8단계</v>
      </c>
      <c r="F704" s="1" t="s">
        <v>119</v>
      </c>
    </row>
    <row r="705" spans="1:6" ht="16.5" customHeight="1">
      <c r="A705" t="s">
        <v>144</v>
      </c>
      <c r="B705">
        <v>52</v>
      </c>
      <c r="C705" s="1" t="s">
        <v>83</v>
      </c>
      <c r="D705">
        <v>3713857</v>
      </c>
      <c r="E705" t="str">
        <f>IF($D705="","",VLOOKUP($D705,기준표!$B$4:$C$12,2,TRUE()))</f>
        <v>8단계</v>
      </c>
      <c r="F705" s="1" t="s">
        <v>119</v>
      </c>
    </row>
    <row r="706" spans="1:6" ht="16.5" customHeight="1">
      <c r="A706" t="s">
        <v>144</v>
      </c>
      <c r="B706">
        <v>53</v>
      </c>
      <c r="C706" s="1" t="s">
        <v>103</v>
      </c>
      <c r="D706">
        <v>3665690</v>
      </c>
      <c r="E706" t="str">
        <f>IF($D706="","",VLOOKUP($D706,기준표!$B$4:$C$12,2,TRUE()))</f>
        <v>8단계</v>
      </c>
      <c r="F706" s="1" t="s">
        <v>119</v>
      </c>
    </row>
    <row r="707" spans="1:6" ht="16.5" customHeight="1">
      <c r="A707" t="s">
        <v>144</v>
      </c>
      <c r="B707">
        <v>54</v>
      </c>
      <c r="C707" s="1" t="s">
        <v>88</v>
      </c>
      <c r="D707">
        <v>3481357</v>
      </c>
      <c r="E707" t="str">
        <f>IF($D707="","",VLOOKUP($D707,기준표!$B$4:$C$12,2,TRUE()))</f>
        <v>8단계</v>
      </c>
      <c r="F707" s="1" t="s">
        <v>119</v>
      </c>
    </row>
    <row r="708" spans="1:6" ht="16.5" customHeight="1">
      <c r="A708" t="s">
        <v>144</v>
      </c>
      <c r="B708">
        <v>55</v>
      </c>
      <c r="C708" s="1" t="s">
        <v>101</v>
      </c>
      <c r="D708">
        <v>2952070</v>
      </c>
      <c r="E708" t="str">
        <f>IF($D708="","",VLOOKUP($D708,기준표!$B$4:$C$12,2,TRUE()))</f>
        <v>8단계</v>
      </c>
      <c r="F708" s="1" t="s">
        <v>119</v>
      </c>
    </row>
    <row r="709" spans="1:6" ht="16.5" customHeight="1">
      <c r="A709" t="s">
        <v>144</v>
      </c>
      <c r="B709">
        <v>56</v>
      </c>
      <c r="C709" s="1" t="s">
        <v>99</v>
      </c>
      <c r="D709">
        <v>2410676</v>
      </c>
      <c r="E709" t="str">
        <f>IF($D709="","",VLOOKUP($D709,기준표!$B$4:$C$12,2,TRUE()))</f>
        <v>7단계</v>
      </c>
      <c r="F709" s="1" t="s">
        <v>119</v>
      </c>
    </row>
    <row r="710" spans="1:6" ht="16.5" customHeight="1">
      <c r="A710" t="s">
        <v>144</v>
      </c>
      <c r="B710">
        <v>57</v>
      </c>
      <c r="C710" s="8">
        <v>1090</v>
      </c>
      <c r="D710">
        <v>2357072</v>
      </c>
      <c r="E710" t="str">
        <f>IF($D710="","",VLOOKUP($D710,기준표!$B$4:$C$12,2,TRUE()))</f>
        <v>7단계</v>
      </c>
      <c r="F710" s="1" t="s">
        <v>119</v>
      </c>
    </row>
    <row r="711" spans="1:6" ht="16.5" customHeight="1">
      <c r="A711" t="s">
        <v>144</v>
      </c>
      <c r="B711">
        <v>58</v>
      </c>
      <c r="C711" s="1" t="s">
        <v>139</v>
      </c>
      <c r="D711">
        <v>1476156</v>
      </c>
      <c r="E711" t="str">
        <f>IF($D711="","",VLOOKUP($D711,기준표!$B$4:$C$12,2,TRUE()))</f>
        <v>6단계</v>
      </c>
      <c r="F711" s="1" t="s">
        <v>119</v>
      </c>
    </row>
    <row r="712" spans="1:6" ht="16.5" customHeight="1">
      <c r="A712" t="s">
        <v>144</v>
      </c>
      <c r="B712">
        <v>59</v>
      </c>
      <c r="C712" s="1" t="s">
        <v>135</v>
      </c>
      <c r="D712">
        <v>1120480</v>
      </c>
      <c r="E712" t="str">
        <f>IF($D712="","",VLOOKUP($D712,기준표!$B$4:$C$12,2,TRUE()))</f>
        <v>6단계</v>
      </c>
      <c r="F712" s="1" t="s">
        <v>119</v>
      </c>
    </row>
    <row r="713" spans="1:6" ht="16.5" customHeight="1">
      <c r="A713" t="s">
        <v>144</v>
      </c>
      <c r="B713">
        <v>60</v>
      </c>
      <c r="C713" s="1" t="s">
        <v>109</v>
      </c>
      <c r="D713">
        <v>697544</v>
      </c>
      <c r="E713" t="str">
        <f>IF($D713="","",VLOOKUP($D713,기준표!$B$4:$C$12,2,TRUE()))</f>
        <v>5단계</v>
      </c>
      <c r="F713" s="1" t="s">
        <v>119</v>
      </c>
    </row>
    <row r="714" spans="1:6" ht="16.5" customHeight="1">
      <c r="A714" t="s">
        <v>144</v>
      </c>
      <c r="B714">
        <v>61</v>
      </c>
      <c r="C714" s="1" t="s">
        <v>113</v>
      </c>
      <c r="D714">
        <v>132500</v>
      </c>
      <c r="E714" t="str">
        <f>IF($D714="","",VLOOKUP($D714,기준표!$B$4:$C$12,2,TRUE()))</f>
        <v>2단계</v>
      </c>
      <c r="F714" s="1" t="s">
        <v>119</v>
      </c>
    </row>
    <row r="715" spans="1:6" ht="16.5" customHeight="1">
      <c r="A715" t="s">
        <v>145</v>
      </c>
      <c r="B715">
        <v>1</v>
      </c>
      <c r="C715" s="1" t="s">
        <v>118</v>
      </c>
      <c r="D715">
        <v>20325210</v>
      </c>
      <c r="E715" t="str">
        <f>IF($D715="","",VLOOKUP($D715,기준표!$B$4:$C$12,2,TRUE()))</f>
        <v>9단계</v>
      </c>
      <c r="F715" s="1" t="s">
        <v>119</v>
      </c>
    </row>
    <row r="716" spans="1:6" ht="16.5" customHeight="1">
      <c r="A716" t="s">
        <v>145</v>
      </c>
      <c r="B716">
        <v>2</v>
      </c>
      <c r="C716" s="1" t="s">
        <v>73</v>
      </c>
      <c r="D716">
        <v>19594230</v>
      </c>
      <c r="E716" t="str">
        <f>IF($D716="","",VLOOKUP($D716,기준표!$B$4:$C$12,2,TRUE()))</f>
        <v>9단계</v>
      </c>
      <c r="F716" s="1" t="s">
        <v>119</v>
      </c>
    </row>
    <row r="717" spans="1:6" ht="16.5" customHeight="1">
      <c r="A717" t="s">
        <v>145</v>
      </c>
      <c r="B717">
        <v>3</v>
      </c>
      <c r="C717" s="1" t="s">
        <v>51</v>
      </c>
      <c r="D717">
        <v>16252620</v>
      </c>
      <c r="E717" t="str">
        <f>IF($D717="","",VLOOKUP($D717,기준표!$B$4:$C$12,2,TRUE()))</f>
        <v>9단계</v>
      </c>
      <c r="F717" s="1" t="s">
        <v>119</v>
      </c>
    </row>
    <row r="718" spans="1:6" ht="16.5" customHeight="1">
      <c r="A718" t="s">
        <v>145</v>
      </c>
      <c r="B718">
        <v>4</v>
      </c>
      <c r="C718" t="s">
        <v>69</v>
      </c>
      <c r="D718">
        <v>15174150</v>
      </c>
      <c r="E718" t="str">
        <f>IF($D718="","",VLOOKUP($D718,기준표!$B$4:$C$12,2,TRUE()))</f>
        <v>9단계</v>
      </c>
      <c r="F718" s="1" t="s">
        <v>119</v>
      </c>
    </row>
    <row r="719" spans="1:6" ht="16.5" customHeight="1">
      <c r="A719" t="s">
        <v>145</v>
      </c>
      <c r="B719">
        <v>5</v>
      </c>
      <c r="C719" s="1" t="s">
        <v>54</v>
      </c>
      <c r="D719">
        <v>13629510</v>
      </c>
      <c r="E719" t="str">
        <f>IF($D719="","",VLOOKUP($D719,기준표!$B$4:$C$12,2,TRUE()))</f>
        <v>9단계</v>
      </c>
      <c r="F719" s="1" t="s">
        <v>119</v>
      </c>
    </row>
    <row r="720" spans="1:6" ht="16.5" customHeight="1">
      <c r="A720" t="s">
        <v>145</v>
      </c>
      <c r="B720">
        <v>6</v>
      </c>
      <c r="C720" s="1" t="s">
        <v>64</v>
      </c>
      <c r="D720">
        <v>10880280</v>
      </c>
      <c r="E720" t="str">
        <f>IF($D720="","",VLOOKUP($D720,기준표!$B$4:$C$12,2,TRUE()))</f>
        <v>9단계</v>
      </c>
      <c r="F720" s="1" t="s">
        <v>119</v>
      </c>
    </row>
    <row r="721" spans="1:6" ht="16.5" customHeight="1">
      <c r="A721" t="s">
        <v>145</v>
      </c>
      <c r="B721">
        <v>7</v>
      </c>
      <c r="C721" s="1" t="s">
        <v>93</v>
      </c>
      <c r="D721">
        <v>9937233</v>
      </c>
      <c r="E721" t="str">
        <f>IF($D721="","",VLOOKUP($D721,기준표!$B$4:$C$12,2,TRUE()))</f>
        <v>9단계</v>
      </c>
      <c r="F721" s="1" t="s">
        <v>119</v>
      </c>
    </row>
    <row r="722" spans="1:6" ht="16.5" customHeight="1">
      <c r="A722" t="s">
        <v>145</v>
      </c>
      <c r="B722">
        <v>8</v>
      </c>
      <c r="C722" s="1" t="s">
        <v>65</v>
      </c>
      <c r="D722">
        <v>9497695</v>
      </c>
      <c r="E722" t="str">
        <f>IF($D722="","",VLOOKUP($D722,기준표!$B$4:$C$12,2,TRUE()))</f>
        <v>9단계</v>
      </c>
      <c r="F722" s="1" t="s">
        <v>119</v>
      </c>
    </row>
    <row r="723" spans="1:6" ht="16.5" customHeight="1">
      <c r="A723" t="s">
        <v>145</v>
      </c>
      <c r="B723">
        <v>9</v>
      </c>
      <c r="C723" t="s">
        <v>57</v>
      </c>
      <c r="D723">
        <v>9330450</v>
      </c>
      <c r="E723" t="str">
        <f>IF($D723="","",VLOOKUP($D723,기준표!$B$4:$C$12,2,TRUE()))</f>
        <v>9단계</v>
      </c>
      <c r="F723" s="1" t="s">
        <v>119</v>
      </c>
    </row>
    <row r="724" spans="1:6" ht="16.5" customHeight="1">
      <c r="A724" t="s">
        <v>145</v>
      </c>
      <c r="B724">
        <v>10</v>
      </c>
      <c r="C724" s="1" t="s">
        <v>2</v>
      </c>
      <c r="D724">
        <v>9300391</v>
      </c>
      <c r="E724" t="str">
        <f>IF($D724="","",VLOOKUP($D724,기준표!$B$4:$C$12,2,TRUE()))</f>
        <v>9단계</v>
      </c>
      <c r="F724" s="1" t="s">
        <v>119</v>
      </c>
    </row>
    <row r="725" spans="1:6" ht="16.5" customHeight="1">
      <c r="A725" t="s">
        <v>145</v>
      </c>
      <c r="B725">
        <v>11</v>
      </c>
      <c r="C725" s="1" t="s">
        <v>58</v>
      </c>
      <c r="D725">
        <v>9274845</v>
      </c>
      <c r="E725" t="str">
        <f>IF($D725="","",VLOOKUP($D725,기준표!$B$4:$C$12,2,TRUE()))</f>
        <v>9단계</v>
      </c>
      <c r="F725" s="1" t="s">
        <v>119</v>
      </c>
    </row>
    <row r="726" spans="1:6" ht="16.5" customHeight="1">
      <c r="A726" t="s">
        <v>145</v>
      </c>
      <c r="B726">
        <v>12</v>
      </c>
      <c r="C726" s="1" t="s">
        <v>60</v>
      </c>
      <c r="D726">
        <v>9161820</v>
      </c>
      <c r="E726" t="str">
        <f>IF($D726="","",VLOOKUP($D726,기준표!$B$4:$C$12,2,TRUE()))</f>
        <v>9단계</v>
      </c>
      <c r="F726" s="1" t="s">
        <v>119</v>
      </c>
    </row>
    <row r="727" spans="1:6" ht="16.5" customHeight="1">
      <c r="A727" t="s">
        <v>145</v>
      </c>
      <c r="B727">
        <v>13</v>
      </c>
      <c r="C727" s="1" t="s">
        <v>130</v>
      </c>
      <c r="D727">
        <v>8897421</v>
      </c>
      <c r="E727" t="str">
        <f>IF($D727="","",VLOOKUP($D727,기준표!$B$4:$C$12,2,TRUE()))</f>
        <v>9단계</v>
      </c>
      <c r="F727" s="1" t="s">
        <v>119</v>
      </c>
    </row>
    <row r="728" spans="1:6" ht="16.5" customHeight="1">
      <c r="A728" t="s">
        <v>145</v>
      </c>
      <c r="B728">
        <v>14</v>
      </c>
      <c r="C728" s="1" t="s">
        <v>17</v>
      </c>
      <c r="D728">
        <v>8594040</v>
      </c>
      <c r="E728" t="str">
        <f>IF($D728="","",VLOOKUP($D728,기준표!$B$4:$C$12,2,TRUE()))</f>
        <v>9단계</v>
      </c>
      <c r="F728" s="1" t="s">
        <v>119</v>
      </c>
    </row>
    <row r="729" spans="1:6" ht="16.5" customHeight="1">
      <c r="A729" t="s">
        <v>145</v>
      </c>
      <c r="B729">
        <v>15</v>
      </c>
      <c r="C729" s="1" t="s">
        <v>63</v>
      </c>
      <c r="D729">
        <v>8567527</v>
      </c>
      <c r="E729" t="str">
        <f>IF($D729="","",VLOOKUP($D729,기준표!$B$4:$C$12,2,TRUE()))</f>
        <v>9단계</v>
      </c>
      <c r="F729" s="1" t="s">
        <v>119</v>
      </c>
    </row>
    <row r="730" spans="1:6" ht="16.5" customHeight="1">
      <c r="A730" t="s">
        <v>145</v>
      </c>
      <c r="B730">
        <v>16</v>
      </c>
      <c r="C730" s="1" t="s">
        <v>94</v>
      </c>
      <c r="D730">
        <v>8471149</v>
      </c>
      <c r="E730" t="str">
        <f>IF($D730="","",VLOOKUP($D730,기준표!$B$4:$C$12,2,TRUE()))</f>
        <v>9단계</v>
      </c>
      <c r="F730" s="1" t="s">
        <v>119</v>
      </c>
    </row>
    <row r="731" spans="1:6" ht="16.5" customHeight="1">
      <c r="A731" t="s">
        <v>145</v>
      </c>
      <c r="B731">
        <v>17</v>
      </c>
      <c r="C731" s="1" t="s">
        <v>4</v>
      </c>
      <c r="D731">
        <v>8405693</v>
      </c>
      <c r="E731" t="str">
        <f>IF($D731="","",VLOOKUP($D731,기준표!$B$4:$C$12,2,TRUE()))</f>
        <v>9단계</v>
      </c>
      <c r="F731" s="1" t="s">
        <v>119</v>
      </c>
    </row>
    <row r="732" spans="1:6" ht="16.5" customHeight="1">
      <c r="A732" t="s">
        <v>145</v>
      </c>
      <c r="B732">
        <v>18</v>
      </c>
      <c r="C732" s="1" t="s">
        <v>82</v>
      </c>
      <c r="D732">
        <v>8381400</v>
      </c>
      <c r="E732" t="str">
        <f>IF($D732="","",VLOOKUP($D732,기준표!$B$4:$C$12,2,TRUE()))</f>
        <v>9단계</v>
      </c>
      <c r="F732" s="1" t="s">
        <v>119</v>
      </c>
    </row>
    <row r="733" spans="1:6" ht="16.5" customHeight="1">
      <c r="A733" t="s">
        <v>145</v>
      </c>
      <c r="B733">
        <v>19</v>
      </c>
      <c r="C733" s="1" t="s">
        <v>61</v>
      </c>
      <c r="D733">
        <v>8310960</v>
      </c>
      <c r="E733" t="str">
        <f>IF($D733="","",VLOOKUP($D733,기준표!$B$4:$C$12,2,TRUE()))</f>
        <v>9단계</v>
      </c>
      <c r="F733" s="1" t="s">
        <v>119</v>
      </c>
    </row>
    <row r="734" spans="1:6" ht="16.5" customHeight="1">
      <c r="A734" t="s">
        <v>145</v>
      </c>
      <c r="B734">
        <v>20</v>
      </c>
      <c r="C734" s="1" t="s">
        <v>56</v>
      </c>
      <c r="D734">
        <v>8207040</v>
      </c>
      <c r="E734" t="str">
        <f>IF($D734="","",VLOOKUP($D734,기준표!$B$4:$C$12,2,TRUE()))</f>
        <v>9단계</v>
      </c>
      <c r="F734" s="1" t="s">
        <v>119</v>
      </c>
    </row>
    <row r="735" spans="1:6" ht="16.5" customHeight="1">
      <c r="A735" t="s">
        <v>145</v>
      </c>
      <c r="B735">
        <v>21</v>
      </c>
      <c r="C735" s="1" t="s">
        <v>85</v>
      </c>
      <c r="D735">
        <v>7990740</v>
      </c>
      <c r="E735" t="str">
        <f>IF($D735="","",VLOOKUP($D735,기준표!$B$4:$C$12,2,TRUE()))</f>
        <v>9단계</v>
      </c>
      <c r="F735" s="1" t="s">
        <v>119</v>
      </c>
    </row>
    <row r="736" spans="1:6" ht="16.5" customHeight="1">
      <c r="A736" t="s">
        <v>145</v>
      </c>
      <c r="B736">
        <v>22</v>
      </c>
      <c r="C736" s="1" t="s">
        <v>129</v>
      </c>
      <c r="D736">
        <v>7700340</v>
      </c>
      <c r="E736" t="str">
        <f>IF($D736="","",VLOOKUP($D736,기준표!$B$4:$C$12,2,TRUE()))</f>
        <v>9단계</v>
      </c>
      <c r="F736" s="1" t="s">
        <v>119</v>
      </c>
    </row>
    <row r="737" spans="1:6" ht="16.5" customHeight="1">
      <c r="A737" t="s">
        <v>145</v>
      </c>
      <c r="B737">
        <v>23</v>
      </c>
      <c r="C737" s="1" t="s">
        <v>126</v>
      </c>
      <c r="D737">
        <v>7681800</v>
      </c>
      <c r="E737" t="str">
        <f>IF($D737="","",VLOOKUP($D737,기준표!$B$4:$C$12,2,TRUE()))</f>
        <v>9단계</v>
      </c>
      <c r="F737" s="1" t="s">
        <v>119</v>
      </c>
    </row>
    <row r="738" spans="1:6" ht="16.5" customHeight="1">
      <c r="A738" t="s">
        <v>145</v>
      </c>
      <c r="B738">
        <v>24</v>
      </c>
      <c r="C738" s="1" t="s">
        <v>9</v>
      </c>
      <c r="D738">
        <v>7600940</v>
      </c>
      <c r="E738" t="str">
        <f>IF($D738="","",VLOOKUP($D738,기준표!$B$4:$C$12,2,TRUE()))</f>
        <v>9단계</v>
      </c>
      <c r="F738" s="1" t="s">
        <v>119</v>
      </c>
    </row>
    <row r="739" spans="1:6" ht="16.5" customHeight="1">
      <c r="A739" t="s">
        <v>145</v>
      </c>
      <c r="B739">
        <v>25</v>
      </c>
      <c r="C739" s="1" t="s">
        <v>75</v>
      </c>
      <c r="D739">
        <v>7470090</v>
      </c>
      <c r="E739" t="str">
        <f>IF($D739="","",VLOOKUP($D739,기준표!$B$4:$C$12,2,TRUE()))</f>
        <v>9단계</v>
      </c>
      <c r="F739" s="1" t="s">
        <v>119</v>
      </c>
    </row>
    <row r="740" spans="1:6" ht="16.5" customHeight="1">
      <c r="A740" t="s">
        <v>145</v>
      </c>
      <c r="B740">
        <v>26</v>
      </c>
      <c r="C740" s="1" t="s">
        <v>74</v>
      </c>
      <c r="D740">
        <v>7404180</v>
      </c>
      <c r="E740" t="str">
        <f>IF($D740="","",VLOOKUP($D740,기준표!$B$4:$C$12,2,TRUE()))</f>
        <v>9단계</v>
      </c>
      <c r="F740" s="1" t="s">
        <v>119</v>
      </c>
    </row>
    <row r="741" spans="1:6" ht="16.5" customHeight="1">
      <c r="A741" t="s">
        <v>145</v>
      </c>
      <c r="B741">
        <v>27</v>
      </c>
      <c r="C741" s="1" t="s">
        <v>20</v>
      </c>
      <c r="D741">
        <v>7396950</v>
      </c>
      <c r="E741" t="str">
        <f>IF($D741="","",VLOOKUP($D741,기준표!$B$4:$C$12,2,TRUE()))</f>
        <v>9단계</v>
      </c>
      <c r="F741" s="1" t="s">
        <v>119</v>
      </c>
    </row>
    <row r="742" spans="1:6" ht="16.5" customHeight="1">
      <c r="A742" t="s">
        <v>145</v>
      </c>
      <c r="B742">
        <v>28</v>
      </c>
      <c r="C742" s="1" t="s">
        <v>123</v>
      </c>
      <c r="D742">
        <v>7320480</v>
      </c>
      <c r="E742" t="str">
        <f>IF($D742="","",VLOOKUP($D742,기준표!$B$4:$C$12,2,TRUE()))</f>
        <v>9단계</v>
      </c>
      <c r="F742" s="1" t="s">
        <v>119</v>
      </c>
    </row>
    <row r="743" spans="1:6" ht="16.5" customHeight="1">
      <c r="A743" t="s">
        <v>145</v>
      </c>
      <c r="B743">
        <v>29</v>
      </c>
      <c r="C743" s="1" t="s">
        <v>71</v>
      </c>
      <c r="D743">
        <v>7264950</v>
      </c>
      <c r="E743" t="str">
        <f>IF($D743="","",VLOOKUP($D743,기준표!$B$4:$C$12,2,TRUE()))</f>
        <v>9단계</v>
      </c>
      <c r="F743" s="1" t="s">
        <v>119</v>
      </c>
    </row>
    <row r="744" spans="1:6" ht="16.5" customHeight="1">
      <c r="A744" t="s">
        <v>145</v>
      </c>
      <c r="B744">
        <v>30</v>
      </c>
      <c r="C744" s="1" t="s">
        <v>11</v>
      </c>
      <c r="D744">
        <v>7240847</v>
      </c>
      <c r="E744" t="str">
        <f>IF($D744="","",VLOOKUP($D744,기준표!$B$4:$C$12,2,TRUE()))</f>
        <v>9단계</v>
      </c>
      <c r="F744" s="1" t="s">
        <v>119</v>
      </c>
    </row>
    <row r="745" spans="1:6" ht="16.5" customHeight="1">
      <c r="A745" t="s">
        <v>145</v>
      </c>
      <c r="B745">
        <v>31</v>
      </c>
      <c r="C745" s="1" t="s">
        <v>67</v>
      </c>
      <c r="D745">
        <v>7214970</v>
      </c>
      <c r="E745" t="str">
        <f>IF($D745="","",VLOOKUP($D745,기준표!$B$4:$C$12,2,TRUE()))</f>
        <v>9단계</v>
      </c>
      <c r="F745" s="1" t="s">
        <v>119</v>
      </c>
    </row>
    <row r="746" spans="1:6" ht="16.5" customHeight="1">
      <c r="A746" t="s">
        <v>145</v>
      </c>
      <c r="B746">
        <v>32</v>
      </c>
      <c r="C746" s="1" t="s">
        <v>62</v>
      </c>
      <c r="D746">
        <v>7192679</v>
      </c>
      <c r="E746" t="str">
        <f>IF($D746="","",VLOOKUP($D746,기준표!$B$4:$C$12,2,TRUE()))</f>
        <v>9단계</v>
      </c>
      <c r="F746" s="1" t="s">
        <v>119</v>
      </c>
    </row>
    <row r="747" spans="1:6" ht="16.5" customHeight="1">
      <c r="A747" t="s">
        <v>145</v>
      </c>
      <c r="B747">
        <v>33</v>
      </c>
      <c r="C747" s="1" t="s">
        <v>80</v>
      </c>
      <c r="D747">
        <v>6555871</v>
      </c>
      <c r="E747" t="str">
        <f>IF($D747="","",VLOOKUP($D747,기준표!$B$4:$C$12,2,TRUE()))</f>
        <v>8단계</v>
      </c>
      <c r="F747" s="1" t="s">
        <v>119</v>
      </c>
    </row>
    <row r="748" spans="1:6" ht="16.5" customHeight="1">
      <c r="A748" t="s">
        <v>145</v>
      </c>
      <c r="B748">
        <v>34</v>
      </c>
      <c r="C748" s="1" t="s">
        <v>120</v>
      </c>
      <c r="D748">
        <v>6431910</v>
      </c>
      <c r="E748" t="str">
        <f>IF($D748="","",VLOOKUP($D748,기준표!$B$4:$C$12,2,TRUE()))</f>
        <v>8단계</v>
      </c>
      <c r="F748" s="1" t="s">
        <v>119</v>
      </c>
    </row>
    <row r="749" spans="1:6" ht="16.5" customHeight="1">
      <c r="A749" t="s">
        <v>145</v>
      </c>
      <c r="B749">
        <v>35</v>
      </c>
      <c r="C749" s="1" t="s">
        <v>77</v>
      </c>
      <c r="D749">
        <v>6226950</v>
      </c>
      <c r="E749" t="str">
        <f>IF($D749="","",VLOOKUP($D749,기준표!$B$4:$C$12,2,TRUE()))</f>
        <v>8단계</v>
      </c>
      <c r="F749" s="1" t="s">
        <v>119</v>
      </c>
    </row>
    <row r="750" spans="1:6" ht="16.5" customHeight="1">
      <c r="A750" t="s">
        <v>145</v>
      </c>
      <c r="B750">
        <v>36</v>
      </c>
      <c r="C750" s="1" t="s">
        <v>81</v>
      </c>
      <c r="D750">
        <v>5554133</v>
      </c>
      <c r="E750" t="str">
        <f>IF($D750="","",VLOOKUP($D750,기준표!$B$4:$C$12,2,TRUE()))</f>
        <v>8단계</v>
      </c>
      <c r="F750" s="1" t="s">
        <v>119</v>
      </c>
    </row>
    <row r="751" spans="1:6" ht="16.5" customHeight="1">
      <c r="A751" t="s">
        <v>145</v>
      </c>
      <c r="B751">
        <v>37</v>
      </c>
      <c r="C751" t="s">
        <v>6</v>
      </c>
      <c r="D751">
        <v>5419375</v>
      </c>
      <c r="E751" t="str">
        <f>IF($D751="","",VLOOKUP($D751,기준표!$B$4:$C$12,2,TRUE()))</f>
        <v>8단계</v>
      </c>
      <c r="F751" s="1" t="s">
        <v>119</v>
      </c>
    </row>
    <row r="752" spans="1:6" ht="16.5" customHeight="1">
      <c r="A752" t="s">
        <v>145</v>
      </c>
      <c r="B752">
        <v>38</v>
      </c>
      <c r="C752" s="1" t="s">
        <v>84</v>
      </c>
      <c r="D752">
        <v>5115300</v>
      </c>
      <c r="E752" t="str">
        <f>IF($D752="","",VLOOKUP($D752,기준표!$B$4:$C$12,2,TRUE()))</f>
        <v>8단계</v>
      </c>
      <c r="F752" s="1" t="s">
        <v>119</v>
      </c>
    </row>
    <row r="753" spans="1:6" ht="16.5" customHeight="1">
      <c r="A753" t="s">
        <v>145</v>
      </c>
      <c r="B753">
        <v>39</v>
      </c>
      <c r="C753" s="1" t="s">
        <v>122</v>
      </c>
      <c r="D753">
        <v>4916739</v>
      </c>
      <c r="E753" t="str">
        <f>IF($D753="","",VLOOKUP($D753,기준표!$B$4:$C$12,2,TRUE()))</f>
        <v>8단계</v>
      </c>
      <c r="F753" s="1" t="s">
        <v>119</v>
      </c>
    </row>
    <row r="754" spans="1:6" ht="16.5" customHeight="1">
      <c r="A754" t="s">
        <v>145</v>
      </c>
      <c r="B754">
        <v>40</v>
      </c>
      <c r="C754" s="1" t="s">
        <v>79</v>
      </c>
      <c r="D754">
        <v>4877619</v>
      </c>
      <c r="E754" t="str">
        <f>IF($D754="","",VLOOKUP($D754,기준표!$B$4:$C$12,2,TRUE()))</f>
        <v>8단계</v>
      </c>
      <c r="F754" s="1" t="s">
        <v>119</v>
      </c>
    </row>
    <row r="755" spans="1:6" ht="16.5" customHeight="1">
      <c r="A755" t="s">
        <v>145</v>
      </c>
      <c r="B755">
        <v>41</v>
      </c>
      <c r="C755" s="1" t="s">
        <v>127</v>
      </c>
      <c r="D755">
        <v>4169530</v>
      </c>
      <c r="E755" t="str">
        <f>IF($D755="","",VLOOKUP($D755,기준표!$B$4:$C$12,2,TRUE()))</f>
        <v>8단계</v>
      </c>
      <c r="F755" s="1" t="s">
        <v>119</v>
      </c>
    </row>
    <row r="756" spans="1:6" ht="16.5" customHeight="1">
      <c r="A756" t="s">
        <v>145</v>
      </c>
      <c r="B756">
        <v>42</v>
      </c>
      <c r="C756" s="1" t="s">
        <v>78</v>
      </c>
      <c r="D756">
        <v>4019278</v>
      </c>
      <c r="E756" t="str">
        <f>IF($D756="","",VLOOKUP($D756,기준표!$B$4:$C$12,2,TRUE()))</f>
        <v>8단계</v>
      </c>
      <c r="F756" s="1" t="s">
        <v>119</v>
      </c>
    </row>
    <row r="757" spans="1:6" ht="16.5" customHeight="1">
      <c r="A757" t="s">
        <v>145</v>
      </c>
      <c r="B757">
        <v>43</v>
      </c>
      <c r="C757" s="1" t="s">
        <v>100</v>
      </c>
      <c r="D757">
        <v>4007400</v>
      </c>
      <c r="E757" t="str">
        <f>IF($D757="","",VLOOKUP($D757,기준표!$B$4:$C$12,2,TRUE()))</f>
        <v>8단계</v>
      </c>
      <c r="F757" s="1" t="s">
        <v>119</v>
      </c>
    </row>
    <row r="758" spans="1:6" ht="16.5" customHeight="1">
      <c r="A758" t="s">
        <v>145</v>
      </c>
      <c r="B758">
        <v>44</v>
      </c>
      <c r="C758" s="8">
        <v>1090</v>
      </c>
      <c r="D758">
        <v>3792883</v>
      </c>
      <c r="E758" t="str">
        <f>IF($D758="","",VLOOKUP($D758,기준표!$B$4:$C$12,2,TRUE()))</f>
        <v>8단계</v>
      </c>
      <c r="F758" s="1" t="s">
        <v>119</v>
      </c>
    </row>
    <row r="759" spans="1:6" ht="16.5" customHeight="1">
      <c r="A759" t="s">
        <v>145</v>
      </c>
      <c r="B759">
        <v>45</v>
      </c>
      <c r="C759" s="1" t="s">
        <v>96</v>
      </c>
      <c r="D759">
        <v>3253486</v>
      </c>
      <c r="E759" t="str">
        <f>IF($D759="","",VLOOKUP($D759,기준표!$B$4:$C$12,2,TRUE()))</f>
        <v>8단계</v>
      </c>
      <c r="F759" s="1" t="s">
        <v>119</v>
      </c>
    </row>
    <row r="760" spans="1:6" ht="16.5" customHeight="1">
      <c r="A760" t="s">
        <v>145</v>
      </c>
      <c r="B760">
        <v>46</v>
      </c>
      <c r="C760" s="1" t="s">
        <v>95</v>
      </c>
      <c r="D760">
        <v>3213216</v>
      </c>
      <c r="E760" t="str">
        <f>IF($D760="","",VLOOKUP($D760,기준표!$B$4:$C$12,2,TRUE()))</f>
        <v>8단계</v>
      </c>
      <c r="F760" s="1" t="s">
        <v>119</v>
      </c>
    </row>
    <row r="761" spans="1:6" ht="16.5" customHeight="1">
      <c r="A761" t="s">
        <v>145</v>
      </c>
      <c r="B761">
        <v>47</v>
      </c>
      <c r="C761" s="1" t="s">
        <v>104</v>
      </c>
      <c r="D761">
        <v>3188762</v>
      </c>
      <c r="E761" t="str">
        <f>IF($D761="","",VLOOKUP($D761,기준표!$B$4:$C$12,2,TRUE()))</f>
        <v>8단계</v>
      </c>
      <c r="F761" s="1" t="s">
        <v>119</v>
      </c>
    </row>
    <row r="762" spans="1:6" ht="16.5" customHeight="1">
      <c r="A762" t="s">
        <v>145</v>
      </c>
      <c r="B762">
        <v>48</v>
      </c>
      <c r="C762" s="1" t="s">
        <v>113</v>
      </c>
      <c r="D762">
        <v>3157601</v>
      </c>
      <c r="E762" t="str">
        <f>IF($D762="","",VLOOKUP($D762,기준표!$B$4:$C$12,2,TRUE()))</f>
        <v>8단계</v>
      </c>
      <c r="F762" s="1" t="s">
        <v>119</v>
      </c>
    </row>
    <row r="763" spans="1:6" ht="16.5" customHeight="1">
      <c r="A763" t="s">
        <v>145</v>
      </c>
      <c r="B763">
        <v>49</v>
      </c>
      <c r="C763" s="1" t="s">
        <v>136</v>
      </c>
      <c r="D763">
        <v>3074264</v>
      </c>
      <c r="E763" t="str">
        <f>IF($D763="","",VLOOKUP($D763,기준표!$B$4:$C$12,2,TRUE()))</f>
        <v>8단계</v>
      </c>
      <c r="F763" s="1" t="s">
        <v>119</v>
      </c>
    </row>
    <row r="764" spans="1:6" ht="16.5" customHeight="1">
      <c r="A764" t="s">
        <v>145</v>
      </c>
      <c r="B764">
        <v>50</v>
      </c>
      <c r="C764" s="1" t="s">
        <v>135</v>
      </c>
      <c r="D764">
        <v>3038155</v>
      </c>
      <c r="E764" t="str">
        <f>IF($D764="","",VLOOKUP($D764,기준표!$B$4:$C$12,2,TRUE()))</f>
        <v>8단계</v>
      </c>
      <c r="F764" s="1" t="s">
        <v>119</v>
      </c>
    </row>
    <row r="765" spans="1:6" ht="16.5" customHeight="1">
      <c r="A765" t="s">
        <v>145</v>
      </c>
      <c r="B765">
        <v>51</v>
      </c>
      <c r="C765" s="1" t="s">
        <v>106</v>
      </c>
      <c r="D765">
        <v>3008316</v>
      </c>
      <c r="E765" t="str">
        <f>IF($D765="","",VLOOKUP($D765,기준표!$B$4:$C$12,2,TRUE()))</f>
        <v>8단계</v>
      </c>
      <c r="F765" s="1" t="s">
        <v>119</v>
      </c>
    </row>
    <row r="766" spans="1:6" ht="16.5" customHeight="1">
      <c r="A766" t="s">
        <v>145</v>
      </c>
      <c r="B766">
        <v>52</v>
      </c>
      <c r="C766" s="1" t="s">
        <v>105</v>
      </c>
      <c r="D766">
        <v>2858220</v>
      </c>
      <c r="E766" t="str">
        <f>IF($D766="","",VLOOKUP($D766,기준표!$B$4:$C$12,2,TRUE()))</f>
        <v>8단계</v>
      </c>
      <c r="F766" s="1" t="s">
        <v>119</v>
      </c>
    </row>
    <row r="767" spans="1:6" ht="16.5" customHeight="1">
      <c r="A767" t="s">
        <v>145</v>
      </c>
      <c r="B767">
        <v>53</v>
      </c>
      <c r="C767" s="1" t="s">
        <v>88</v>
      </c>
      <c r="D767">
        <v>2745123</v>
      </c>
      <c r="E767" t="str">
        <f>IF($D767="","",VLOOKUP($D767,기준표!$B$4:$C$12,2,TRUE()))</f>
        <v>8단계</v>
      </c>
      <c r="F767" s="1" t="s">
        <v>119</v>
      </c>
    </row>
    <row r="768" spans="1:6" ht="16.5" customHeight="1">
      <c r="A768" t="s">
        <v>145</v>
      </c>
      <c r="B768">
        <v>54</v>
      </c>
      <c r="C768" s="1" t="s">
        <v>102</v>
      </c>
      <c r="D768">
        <v>2730024</v>
      </c>
      <c r="E768" t="str">
        <f>IF($D768="","",VLOOKUP($D768,기준표!$B$4:$C$12,2,TRUE()))</f>
        <v>8단계</v>
      </c>
      <c r="F768" s="1" t="s">
        <v>119</v>
      </c>
    </row>
    <row r="769" spans="1:6" ht="16.5" customHeight="1">
      <c r="A769" t="s">
        <v>145</v>
      </c>
      <c r="B769">
        <v>55</v>
      </c>
      <c r="C769" s="1" t="s">
        <v>83</v>
      </c>
      <c r="D769">
        <v>2675674</v>
      </c>
      <c r="E769" t="str">
        <f>IF($D769="","",VLOOKUP($D769,기준표!$B$4:$C$12,2,TRUE()))</f>
        <v>8단계</v>
      </c>
      <c r="F769" s="1" t="s">
        <v>119</v>
      </c>
    </row>
    <row r="770" spans="1:6" ht="16.5" customHeight="1">
      <c r="A770" t="s">
        <v>145</v>
      </c>
      <c r="B770">
        <v>56</v>
      </c>
      <c r="C770" s="1" t="s">
        <v>103</v>
      </c>
      <c r="D770">
        <v>2537578</v>
      </c>
      <c r="E770" t="str">
        <f>IF($D770="","",VLOOKUP($D770,기준표!$B$4:$C$12,2,TRUE()))</f>
        <v>7단계</v>
      </c>
      <c r="F770" s="1" t="s">
        <v>119</v>
      </c>
    </row>
    <row r="771" spans="1:6" ht="16.5" customHeight="1">
      <c r="A771" t="s">
        <v>145</v>
      </c>
      <c r="B771">
        <v>57</v>
      </c>
      <c r="C771" s="1" t="s">
        <v>109</v>
      </c>
      <c r="D771">
        <v>2402766</v>
      </c>
      <c r="E771" t="str">
        <f>IF($D771="","",VLOOKUP($D771,기준표!$B$4:$C$12,2,TRUE()))</f>
        <v>7단계</v>
      </c>
      <c r="F771" s="1" t="s">
        <v>119</v>
      </c>
    </row>
    <row r="772" spans="1:6" ht="16.5" customHeight="1">
      <c r="A772" t="s">
        <v>145</v>
      </c>
      <c r="B772">
        <v>58</v>
      </c>
      <c r="C772" s="1" t="s">
        <v>101</v>
      </c>
      <c r="D772">
        <v>2170049</v>
      </c>
      <c r="E772" t="str">
        <f>IF($D772="","",VLOOKUP($D772,기준표!$B$4:$C$12,2,TRUE()))</f>
        <v>6단계</v>
      </c>
      <c r="F772" s="1" t="s">
        <v>119</v>
      </c>
    </row>
    <row r="773" spans="1:6" ht="16.5" customHeight="1">
      <c r="A773" t="s">
        <v>145</v>
      </c>
      <c r="B773">
        <v>59</v>
      </c>
      <c r="C773" s="1" t="s">
        <v>111</v>
      </c>
      <c r="D773">
        <v>2038750</v>
      </c>
      <c r="E773" t="str">
        <f>IF($D773="","",VLOOKUP($D773,기준표!$B$4:$C$12,2,TRUE()))</f>
        <v>6단계</v>
      </c>
      <c r="F773" s="1" t="s">
        <v>119</v>
      </c>
    </row>
    <row r="774" spans="1:6" ht="16.5" customHeight="1">
      <c r="A774" t="s">
        <v>145</v>
      </c>
      <c r="B774">
        <v>60</v>
      </c>
      <c r="C774" s="1" t="s">
        <v>99</v>
      </c>
      <c r="D774">
        <v>1899203</v>
      </c>
      <c r="E774" t="str">
        <f>IF($D774="","",VLOOKUP($D774,기준표!$B$4:$C$12,2,TRUE()))</f>
        <v>6단계</v>
      </c>
      <c r="F774" s="1" t="s">
        <v>119</v>
      </c>
    </row>
    <row r="775" spans="1:6" ht="16.5" customHeight="1">
      <c r="A775" t="s">
        <v>145</v>
      </c>
      <c r="B775">
        <v>61</v>
      </c>
      <c r="C775" s="1" t="s">
        <v>139</v>
      </c>
      <c r="D775">
        <v>1640826</v>
      </c>
      <c r="E775" t="str">
        <f>IF($D775="","",VLOOKUP($D775,기준표!$B$4:$C$12,2,TRUE()))</f>
        <v>6단계</v>
      </c>
      <c r="F775" s="1" t="s">
        <v>119</v>
      </c>
    </row>
    <row r="776" spans="1:6" ht="16.5" customHeight="1">
      <c r="A776" t="s">
        <v>145</v>
      </c>
      <c r="B776">
        <v>62</v>
      </c>
      <c r="C776" s="1" t="s">
        <v>86</v>
      </c>
      <c r="D776">
        <v>1396500</v>
      </c>
      <c r="E776" t="str">
        <f>IF($D776="","",VLOOKUP($D776,기준표!$B$4:$C$12,2,TRUE()))</f>
        <v>6단계</v>
      </c>
      <c r="F776" s="1" t="s">
        <v>119</v>
      </c>
    </row>
    <row r="777" spans="1:6" ht="16.5" customHeight="1">
      <c r="A777" t="s">
        <v>145</v>
      </c>
      <c r="B777">
        <v>63</v>
      </c>
      <c r="C777" s="1" t="s">
        <v>92</v>
      </c>
      <c r="D777">
        <v>1277400</v>
      </c>
      <c r="E777" t="str">
        <f>IF($D777="","",VLOOKUP($D777,기준표!$B$4:$C$12,2,TRUE()))</f>
        <v>6단계</v>
      </c>
      <c r="F777" s="1" t="s">
        <v>119</v>
      </c>
    </row>
    <row r="778" spans="1:6" ht="16.5" customHeight="1">
      <c r="A778" t="s">
        <v>146</v>
      </c>
      <c r="B778">
        <v>1</v>
      </c>
      <c r="C778" s="1" t="s">
        <v>17</v>
      </c>
      <c r="D778">
        <v>18065557</v>
      </c>
      <c r="E778" t="str">
        <f>IF($D778="","",VLOOKUP($D778,기준표!$B$4:$C$12,2,TRUE()))</f>
        <v>9단계</v>
      </c>
      <c r="F778" s="1" t="s">
        <v>119</v>
      </c>
    </row>
    <row r="779" spans="1:6" ht="16.5" customHeight="1">
      <c r="A779" t="s">
        <v>146</v>
      </c>
      <c r="B779">
        <v>2</v>
      </c>
      <c r="C779" s="1" t="s">
        <v>118</v>
      </c>
      <c r="D779">
        <v>16200591</v>
      </c>
      <c r="E779" t="str">
        <f>IF($D779="","",VLOOKUP($D779,기준표!$B$4:$C$12,2,TRUE()))</f>
        <v>9단계</v>
      </c>
      <c r="F779" s="1" t="s">
        <v>119</v>
      </c>
    </row>
    <row r="780" spans="1:6" ht="16.5" customHeight="1">
      <c r="A780" t="s">
        <v>146</v>
      </c>
      <c r="B780">
        <v>3</v>
      </c>
      <c r="C780" s="1" t="s">
        <v>51</v>
      </c>
      <c r="D780">
        <v>14887499</v>
      </c>
      <c r="E780" t="str">
        <f>IF($D780="","",VLOOKUP($D780,기준표!$B$4:$C$12,2,TRUE()))</f>
        <v>9단계</v>
      </c>
      <c r="F780" s="1" t="s">
        <v>119</v>
      </c>
    </row>
    <row r="781" spans="1:6" ht="16.5" customHeight="1">
      <c r="A781" t="s">
        <v>146</v>
      </c>
      <c r="B781">
        <v>4</v>
      </c>
      <c r="C781" t="s">
        <v>57</v>
      </c>
      <c r="D781">
        <v>14395584</v>
      </c>
      <c r="E781" t="str">
        <f>IF($D781="","",VLOOKUP($D781,기준표!$B$4:$C$12,2,TRUE()))</f>
        <v>9단계</v>
      </c>
      <c r="F781" s="1" t="s">
        <v>119</v>
      </c>
    </row>
    <row r="782" spans="1:6" ht="16.5" customHeight="1">
      <c r="A782" t="s">
        <v>146</v>
      </c>
      <c r="B782">
        <v>5</v>
      </c>
      <c r="C782" t="s">
        <v>69</v>
      </c>
      <c r="D782">
        <v>12924219</v>
      </c>
      <c r="E782" t="str">
        <f>IF($D782="","",VLOOKUP($D782,기준표!$B$4:$C$12,2,TRUE()))</f>
        <v>9단계</v>
      </c>
      <c r="F782" s="1" t="s">
        <v>119</v>
      </c>
    </row>
    <row r="783" spans="1:6" ht="16.5" customHeight="1">
      <c r="A783" t="s">
        <v>146</v>
      </c>
      <c r="B783">
        <v>6</v>
      </c>
      <c r="C783" s="1" t="s">
        <v>71</v>
      </c>
      <c r="D783">
        <v>12556903</v>
      </c>
      <c r="E783" t="str">
        <f>IF($D783="","",VLOOKUP($D783,기준표!$B$4:$C$12,2,TRUE()))</f>
        <v>9단계</v>
      </c>
      <c r="F783" s="1" t="s">
        <v>119</v>
      </c>
    </row>
    <row r="784" spans="1:6" ht="16.5" customHeight="1">
      <c r="A784" t="s">
        <v>146</v>
      </c>
      <c r="B784">
        <v>7</v>
      </c>
      <c r="C784" s="1" t="s">
        <v>64</v>
      </c>
      <c r="D784">
        <v>12199486</v>
      </c>
      <c r="E784" t="str">
        <f>IF($D784="","",VLOOKUP($D784,기준표!$B$4:$C$12,2,TRUE()))</f>
        <v>9단계</v>
      </c>
      <c r="F784" s="1" t="s">
        <v>119</v>
      </c>
    </row>
    <row r="785" spans="1:6" ht="16.5" customHeight="1">
      <c r="A785" t="s">
        <v>146</v>
      </c>
      <c r="B785">
        <v>8</v>
      </c>
      <c r="C785" s="1" t="s">
        <v>61</v>
      </c>
      <c r="D785">
        <v>11158441</v>
      </c>
      <c r="E785" t="str">
        <f>IF($D785="","",VLOOKUP($D785,기준표!$B$4:$C$12,2,TRUE()))</f>
        <v>9단계</v>
      </c>
      <c r="F785" s="1" t="s">
        <v>119</v>
      </c>
    </row>
    <row r="786" spans="1:6" ht="16.5" customHeight="1">
      <c r="A786" t="s">
        <v>146</v>
      </c>
      <c r="B786">
        <v>9</v>
      </c>
      <c r="C786" s="1" t="s">
        <v>56</v>
      </c>
      <c r="D786">
        <v>10640427</v>
      </c>
      <c r="E786" t="str">
        <f>IF($D786="","",VLOOKUP($D786,기준표!$B$4:$C$12,2,TRUE()))</f>
        <v>9단계</v>
      </c>
      <c r="F786" s="1" t="s">
        <v>119</v>
      </c>
    </row>
    <row r="787" spans="1:6" ht="16.5" customHeight="1">
      <c r="A787" t="s">
        <v>146</v>
      </c>
      <c r="B787">
        <v>10</v>
      </c>
      <c r="C787" s="1" t="s">
        <v>120</v>
      </c>
      <c r="D787">
        <v>9884082</v>
      </c>
      <c r="E787" t="str">
        <f>IF($D787="","",VLOOKUP($D787,기준표!$B$4:$C$12,2,TRUE()))</f>
        <v>9단계</v>
      </c>
      <c r="F787" s="1" t="s">
        <v>119</v>
      </c>
    </row>
    <row r="788" spans="1:6" ht="16.5" customHeight="1">
      <c r="A788" t="s">
        <v>146</v>
      </c>
      <c r="B788">
        <v>11</v>
      </c>
      <c r="C788" s="1" t="s">
        <v>60</v>
      </c>
      <c r="D788">
        <v>9392575</v>
      </c>
      <c r="E788" t="str">
        <f>IF($D788="","",VLOOKUP($D788,기준표!$B$4:$C$12,2,TRUE()))</f>
        <v>9단계</v>
      </c>
      <c r="F788" s="1" t="s">
        <v>119</v>
      </c>
    </row>
    <row r="789" spans="1:6" ht="16.5" customHeight="1">
      <c r="A789" t="s">
        <v>146</v>
      </c>
      <c r="B789">
        <v>12</v>
      </c>
      <c r="C789" s="1" t="s">
        <v>126</v>
      </c>
      <c r="D789">
        <v>9261614</v>
      </c>
      <c r="E789" t="str">
        <f>IF($D789="","",VLOOKUP($D789,기준표!$B$4:$C$12,2,TRUE()))</f>
        <v>9단계</v>
      </c>
      <c r="F789" s="1" t="s">
        <v>119</v>
      </c>
    </row>
    <row r="790" spans="1:6" ht="16.5" customHeight="1">
      <c r="A790" t="s">
        <v>146</v>
      </c>
      <c r="B790">
        <v>13</v>
      </c>
      <c r="C790" s="1" t="s">
        <v>82</v>
      </c>
      <c r="D790">
        <v>8659287</v>
      </c>
      <c r="E790" t="str">
        <f>IF($D790="","",VLOOKUP($D790,기준표!$B$4:$C$12,2,TRUE()))</f>
        <v>9단계</v>
      </c>
      <c r="F790" s="1" t="s">
        <v>119</v>
      </c>
    </row>
    <row r="791" spans="1:6" ht="16.5" customHeight="1">
      <c r="A791" t="s">
        <v>146</v>
      </c>
      <c r="B791">
        <v>14</v>
      </c>
      <c r="C791" s="1" t="s">
        <v>54</v>
      </c>
      <c r="D791">
        <v>8293314</v>
      </c>
      <c r="E791" t="str">
        <f>IF($D791="","",VLOOKUP($D791,기준표!$B$4:$C$12,2,TRUE()))</f>
        <v>9단계</v>
      </c>
      <c r="F791" s="1" t="s">
        <v>119</v>
      </c>
    </row>
    <row r="792" spans="1:6" ht="16.5" customHeight="1">
      <c r="A792" t="s">
        <v>146</v>
      </c>
      <c r="B792">
        <v>15</v>
      </c>
      <c r="C792" s="1" t="s">
        <v>73</v>
      </c>
      <c r="D792">
        <v>8174910</v>
      </c>
      <c r="E792" t="str">
        <f>IF($D792="","",VLOOKUP($D792,기준표!$B$4:$C$12,2,TRUE()))</f>
        <v>9단계</v>
      </c>
      <c r="F792" s="1" t="s">
        <v>119</v>
      </c>
    </row>
    <row r="793" spans="1:6" ht="16.5" customHeight="1">
      <c r="A793" t="s">
        <v>146</v>
      </c>
      <c r="B793">
        <v>16</v>
      </c>
      <c r="C793" s="1" t="s">
        <v>65</v>
      </c>
      <c r="D793">
        <v>7931268</v>
      </c>
      <c r="E793" t="str">
        <f>IF($D793="","",VLOOKUP($D793,기준표!$B$4:$C$12,2,TRUE()))</f>
        <v>9단계</v>
      </c>
      <c r="F793" s="1" t="s">
        <v>119</v>
      </c>
    </row>
    <row r="794" spans="1:6" ht="16.5" customHeight="1">
      <c r="A794" t="s">
        <v>146</v>
      </c>
      <c r="B794">
        <v>17</v>
      </c>
      <c r="C794" s="1" t="s">
        <v>3</v>
      </c>
      <c r="D794">
        <v>7601866</v>
      </c>
      <c r="E794" t="str">
        <f>IF($D794="","",VLOOKUP($D794,기준표!$B$4:$C$12,2,TRUE()))</f>
        <v>9단계</v>
      </c>
      <c r="F794" s="1" t="s">
        <v>119</v>
      </c>
    </row>
    <row r="795" spans="1:6" ht="16.5" customHeight="1">
      <c r="A795" t="s">
        <v>146</v>
      </c>
      <c r="B795">
        <v>18</v>
      </c>
      <c r="C795" s="1" t="s">
        <v>80</v>
      </c>
      <c r="D795">
        <v>7574287</v>
      </c>
      <c r="E795" t="str">
        <f>IF($D795="","",VLOOKUP($D795,기준표!$B$4:$C$12,2,TRUE()))</f>
        <v>9단계</v>
      </c>
      <c r="F795" s="1" t="s">
        <v>119</v>
      </c>
    </row>
    <row r="796" spans="1:6" ht="16.5" customHeight="1">
      <c r="A796" t="s">
        <v>146</v>
      </c>
      <c r="B796">
        <v>19</v>
      </c>
      <c r="C796" s="1" t="s">
        <v>11</v>
      </c>
      <c r="D796">
        <v>7516465</v>
      </c>
      <c r="E796" t="str">
        <f>IF($D796="","",VLOOKUP($D796,기준표!$B$4:$C$12,2,TRUE()))</f>
        <v>9단계</v>
      </c>
      <c r="F796" s="1" t="s">
        <v>119</v>
      </c>
    </row>
    <row r="797" spans="1:6" ht="16.5" customHeight="1">
      <c r="A797" t="s">
        <v>146</v>
      </c>
      <c r="B797">
        <v>20</v>
      </c>
      <c r="C797" s="1" t="s">
        <v>62</v>
      </c>
      <c r="D797">
        <v>7334144</v>
      </c>
      <c r="E797" t="str">
        <f>IF($D797="","",VLOOKUP($D797,기준표!$B$4:$C$12,2,TRUE()))</f>
        <v>9단계</v>
      </c>
      <c r="F797" s="1" t="s">
        <v>119</v>
      </c>
    </row>
    <row r="798" spans="1:6" ht="16.5" customHeight="1">
      <c r="A798" t="s">
        <v>146</v>
      </c>
      <c r="B798">
        <v>21</v>
      </c>
      <c r="C798" s="1" t="s">
        <v>5</v>
      </c>
      <c r="D798">
        <v>7308496</v>
      </c>
      <c r="E798" t="str">
        <f>IF($D798="","",VLOOKUP($D798,기준표!$B$4:$C$12,2,TRUE()))</f>
        <v>9단계</v>
      </c>
      <c r="F798" s="1" t="s">
        <v>119</v>
      </c>
    </row>
    <row r="799" spans="1:6" ht="16.5" customHeight="1">
      <c r="A799" t="s">
        <v>146</v>
      </c>
      <c r="B799">
        <v>22</v>
      </c>
      <c r="C799" s="1" t="s">
        <v>63</v>
      </c>
      <c r="D799">
        <v>7296607</v>
      </c>
      <c r="E799" t="str">
        <f>IF($D799="","",VLOOKUP($D799,기준표!$B$4:$C$12,2,TRUE()))</f>
        <v>9단계</v>
      </c>
      <c r="F799" s="1" t="s">
        <v>119</v>
      </c>
    </row>
    <row r="800" spans="1:6" ht="16.5" customHeight="1">
      <c r="A800" t="s">
        <v>146</v>
      </c>
      <c r="B800">
        <v>23</v>
      </c>
      <c r="C800" s="1" t="s">
        <v>129</v>
      </c>
      <c r="D800">
        <v>7259298</v>
      </c>
      <c r="E800" t="str">
        <f>IF($D800="","",VLOOKUP($D800,기준표!$B$4:$C$12,2,TRUE()))</f>
        <v>9단계</v>
      </c>
      <c r="F800" s="1" t="s">
        <v>119</v>
      </c>
    </row>
    <row r="801" spans="1:6" ht="16.5" customHeight="1">
      <c r="A801" t="s">
        <v>146</v>
      </c>
      <c r="B801">
        <v>24</v>
      </c>
      <c r="C801" s="1" t="s">
        <v>123</v>
      </c>
      <c r="D801">
        <v>7249932</v>
      </c>
      <c r="E801" t="str">
        <f>IF($D801="","",VLOOKUP($D801,기준표!$B$4:$C$12,2,TRUE()))</f>
        <v>9단계</v>
      </c>
      <c r="F801" s="1" t="s">
        <v>119</v>
      </c>
    </row>
    <row r="802" spans="1:6" ht="16.5" customHeight="1">
      <c r="A802" t="s">
        <v>146</v>
      </c>
      <c r="B802">
        <v>25</v>
      </c>
      <c r="C802" s="1" t="s">
        <v>9</v>
      </c>
      <c r="D802">
        <v>7240796</v>
      </c>
      <c r="E802" t="str">
        <f>IF($D802="","",VLOOKUP($D802,기준표!$B$4:$C$12,2,TRUE()))</f>
        <v>9단계</v>
      </c>
      <c r="F802" s="1" t="s">
        <v>119</v>
      </c>
    </row>
    <row r="803" spans="1:6" ht="16.5" customHeight="1">
      <c r="A803" t="s">
        <v>146</v>
      </c>
      <c r="B803">
        <v>26</v>
      </c>
      <c r="C803" s="1" t="s">
        <v>20</v>
      </c>
      <c r="D803">
        <v>7240329</v>
      </c>
      <c r="E803" t="str">
        <f>IF($D803="","",VLOOKUP($D803,기준표!$B$4:$C$12,2,TRUE()))</f>
        <v>9단계</v>
      </c>
      <c r="F803" s="1" t="s">
        <v>119</v>
      </c>
    </row>
    <row r="804" spans="1:6" ht="16.5" customHeight="1">
      <c r="A804" t="s">
        <v>146</v>
      </c>
      <c r="B804">
        <v>27</v>
      </c>
      <c r="C804" s="1" t="s">
        <v>75</v>
      </c>
      <c r="D804">
        <v>7197837</v>
      </c>
      <c r="E804" t="str">
        <f>IF($D804="","",VLOOKUP($D804,기준표!$B$4:$C$12,2,TRUE()))</f>
        <v>9단계</v>
      </c>
      <c r="F804" s="1" t="s">
        <v>119</v>
      </c>
    </row>
    <row r="805" spans="1:6" ht="16.5" customHeight="1">
      <c r="A805" t="s">
        <v>146</v>
      </c>
      <c r="B805">
        <v>28</v>
      </c>
      <c r="C805" s="1" t="s">
        <v>85</v>
      </c>
      <c r="D805">
        <v>5715924</v>
      </c>
      <c r="E805" t="str">
        <f>IF($D805="","",VLOOKUP($D805,기준표!$B$4:$C$12,2,TRUE()))</f>
        <v>8단계</v>
      </c>
      <c r="F805" s="1" t="s">
        <v>119</v>
      </c>
    </row>
    <row r="806" spans="1:6" ht="16.5" customHeight="1">
      <c r="A806" t="s">
        <v>146</v>
      </c>
      <c r="B806">
        <v>29</v>
      </c>
      <c r="C806" s="1" t="s">
        <v>100</v>
      </c>
      <c r="D806">
        <v>5684123</v>
      </c>
      <c r="E806" t="str">
        <f>IF($D806="","",VLOOKUP($D806,기준표!$B$4:$C$12,2,TRUE()))</f>
        <v>8단계</v>
      </c>
      <c r="F806" s="1" t="s">
        <v>119</v>
      </c>
    </row>
    <row r="807" spans="1:6" ht="16.5" customHeight="1">
      <c r="A807" t="s">
        <v>146</v>
      </c>
      <c r="B807">
        <v>30</v>
      </c>
      <c r="C807" s="1" t="s">
        <v>84</v>
      </c>
      <c r="D807">
        <v>5318621</v>
      </c>
      <c r="E807" t="str">
        <f>IF($D807="","",VLOOKUP($D807,기준표!$B$4:$C$12,2,TRUE()))</f>
        <v>8단계</v>
      </c>
      <c r="F807" s="1" t="s">
        <v>119</v>
      </c>
    </row>
    <row r="808" spans="1:6" ht="16.5" customHeight="1">
      <c r="A808" t="s">
        <v>146</v>
      </c>
      <c r="B808">
        <v>31</v>
      </c>
      <c r="C808" s="1" t="s">
        <v>58</v>
      </c>
      <c r="D808">
        <v>5051171</v>
      </c>
      <c r="E808" t="str">
        <f>IF($D808="","",VLOOKUP($D808,기준표!$B$4:$C$12,2,TRUE()))</f>
        <v>8단계</v>
      </c>
      <c r="F808" s="1" t="s">
        <v>119</v>
      </c>
    </row>
    <row r="809" spans="1:6" ht="16.5" customHeight="1">
      <c r="A809" t="s">
        <v>146</v>
      </c>
      <c r="B809">
        <v>32</v>
      </c>
      <c r="C809" s="1" t="s">
        <v>86</v>
      </c>
      <c r="D809">
        <v>4920434</v>
      </c>
      <c r="E809" t="str">
        <f>IF($D809="","",VLOOKUP($D809,기준표!$B$4:$C$12,2,TRUE()))</f>
        <v>8단계</v>
      </c>
      <c r="F809" s="1" t="s">
        <v>119</v>
      </c>
    </row>
    <row r="810" spans="1:6" ht="16.5" customHeight="1">
      <c r="A810" t="s">
        <v>146</v>
      </c>
      <c r="B810">
        <v>33</v>
      </c>
      <c r="C810" s="1" t="s">
        <v>74</v>
      </c>
      <c r="D810">
        <v>4842295</v>
      </c>
      <c r="E810" t="str">
        <f>IF($D810="","",VLOOKUP($D810,기준표!$B$4:$C$12,2,TRUE()))</f>
        <v>8단계</v>
      </c>
      <c r="F810" s="1" t="s">
        <v>119</v>
      </c>
    </row>
    <row r="811" spans="1:6" ht="16.5" customHeight="1">
      <c r="A811" t="s">
        <v>146</v>
      </c>
      <c r="B811">
        <v>34</v>
      </c>
      <c r="C811" s="1" t="s">
        <v>136</v>
      </c>
      <c r="D811">
        <v>4778955</v>
      </c>
      <c r="E811" t="str">
        <f>IF($D811="","",VLOOKUP($D811,기준표!$B$4:$C$12,2,TRUE()))</f>
        <v>8단계</v>
      </c>
      <c r="F811" s="1" t="s">
        <v>119</v>
      </c>
    </row>
    <row r="812" spans="1:6" ht="16.5" customHeight="1">
      <c r="A812" t="s">
        <v>146</v>
      </c>
      <c r="B812">
        <v>35</v>
      </c>
      <c r="C812" s="1" t="s">
        <v>130</v>
      </c>
      <c r="D812">
        <v>4655178</v>
      </c>
      <c r="E812" t="str">
        <f>IF($D812="","",VLOOKUP($D812,기준표!$B$4:$C$12,2,TRUE()))</f>
        <v>8단계</v>
      </c>
      <c r="F812" s="1" t="s">
        <v>119</v>
      </c>
    </row>
    <row r="813" spans="1:6" ht="16.5" customHeight="1">
      <c r="A813" t="s">
        <v>146</v>
      </c>
      <c r="B813">
        <v>36</v>
      </c>
      <c r="C813" s="1" t="s">
        <v>67</v>
      </c>
      <c r="D813">
        <v>4446798</v>
      </c>
      <c r="E813" t="str">
        <f>IF($D813="","",VLOOKUP($D813,기준표!$B$4:$C$12,2,TRUE()))</f>
        <v>8단계</v>
      </c>
      <c r="F813" s="1" t="s">
        <v>119</v>
      </c>
    </row>
    <row r="814" spans="1:6" ht="16.5" customHeight="1">
      <c r="A814" t="s">
        <v>146</v>
      </c>
      <c r="B814">
        <v>37</v>
      </c>
      <c r="C814" s="1" t="s">
        <v>79</v>
      </c>
      <c r="D814">
        <v>3781993</v>
      </c>
      <c r="E814" t="str">
        <f>IF($D814="","",VLOOKUP($D814,기준표!$B$4:$C$12,2,TRUE()))</f>
        <v>8단계</v>
      </c>
      <c r="F814" s="1" t="s">
        <v>119</v>
      </c>
    </row>
    <row r="815" spans="1:6" ht="16.5" customHeight="1">
      <c r="A815" t="s">
        <v>146</v>
      </c>
      <c r="B815">
        <v>38</v>
      </c>
      <c r="C815" s="1" t="s">
        <v>7</v>
      </c>
      <c r="D815">
        <v>3747912</v>
      </c>
      <c r="E815" t="str">
        <f>IF($D815="","",VLOOKUP($D815,기준표!$B$4:$C$12,2,TRUE()))</f>
        <v>8단계</v>
      </c>
      <c r="F815" s="1" t="s">
        <v>119</v>
      </c>
    </row>
    <row r="816" spans="1:6" ht="16.5" customHeight="1">
      <c r="A816" t="s">
        <v>146</v>
      </c>
      <c r="B816">
        <v>39</v>
      </c>
      <c r="C816" s="1" t="s">
        <v>83</v>
      </c>
      <c r="D816">
        <v>3431716</v>
      </c>
      <c r="E816" t="str">
        <f>IF($D816="","",VLOOKUP($D816,기준표!$B$4:$C$12,2,TRUE()))</f>
        <v>8단계</v>
      </c>
      <c r="F816" s="1" t="s">
        <v>119</v>
      </c>
    </row>
    <row r="817" spans="1:6" ht="16.5" customHeight="1">
      <c r="A817" t="s">
        <v>146</v>
      </c>
      <c r="B817">
        <v>40</v>
      </c>
      <c r="C817" s="1" t="s">
        <v>122</v>
      </c>
      <c r="D817">
        <v>3365179</v>
      </c>
      <c r="E817" t="str">
        <f>IF($D817="","",VLOOKUP($D817,기준표!$B$4:$C$12,2,TRUE()))</f>
        <v>8단계</v>
      </c>
      <c r="F817" s="1" t="s">
        <v>119</v>
      </c>
    </row>
    <row r="818" spans="1:6" ht="16.5" customHeight="1">
      <c r="A818" t="s">
        <v>146</v>
      </c>
      <c r="B818">
        <v>41</v>
      </c>
      <c r="C818" s="1" t="s">
        <v>127</v>
      </c>
      <c r="D818">
        <v>2991801</v>
      </c>
      <c r="E818" t="str">
        <f>IF($D818="","",VLOOKUP($D818,기준표!$B$4:$C$12,2,TRUE()))</f>
        <v>8단계</v>
      </c>
      <c r="F818" s="1" t="s">
        <v>119</v>
      </c>
    </row>
    <row r="819" spans="1:6" ht="16.5" customHeight="1">
      <c r="A819" t="s">
        <v>146</v>
      </c>
      <c r="B819">
        <v>42</v>
      </c>
      <c r="C819" s="1" t="s">
        <v>106</v>
      </c>
      <c r="D819">
        <v>2954655</v>
      </c>
      <c r="E819" t="str">
        <f>IF($D819="","",VLOOKUP($D819,기준표!$B$4:$C$12,2,TRUE()))</f>
        <v>8단계</v>
      </c>
      <c r="F819" s="1" t="s">
        <v>119</v>
      </c>
    </row>
    <row r="820" spans="1:6" ht="16.5" customHeight="1">
      <c r="A820" t="s">
        <v>146</v>
      </c>
      <c r="B820">
        <v>43</v>
      </c>
      <c r="C820" s="1" t="s">
        <v>94</v>
      </c>
      <c r="D820">
        <v>2865218</v>
      </c>
      <c r="E820" t="str">
        <f>IF($D820="","",VLOOKUP($D820,기준표!$B$4:$C$12,2,TRUE()))</f>
        <v>8단계</v>
      </c>
      <c r="F820" s="1" t="s">
        <v>119</v>
      </c>
    </row>
    <row r="821" spans="1:6" ht="16.5" customHeight="1">
      <c r="A821" t="s">
        <v>146</v>
      </c>
      <c r="B821">
        <v>44</v>
      </c>
      <c r="C821" s="1" t="s">
        <v>93</v>
      </c>
      <c r="D821">
        <v>2824379</v>
      </c>
      <c r="E821" t="str">
        <f>IF($D821="","",VLOOKUP($D821,기준표!$B$4:$C$12,2,TRUE()))</f>
        <v>8단계</v>
      </c>
      <c r="F821" s="1" t="s">
        <v>119</v>
      </c>
    </row>
    <row r="822" spans="1:6" ht="16.5" customHeight="1">
      <c r="A822" t="s">
        <v>146</v>
      </c>
      <c r="B822">
        <v>45</v>
      </c>
      <c r="C822" s="1" t="s">
        <v>135</v>
      </c>
      <c r="D822">
        <v>2822327</v>
      </c>
      <c r="E822" t="str">
        <f>IF($D822="","",VLOOKUP($D822,기준표!$B$4:$C$12,2,TRUE()))</f>
        <v>8단계</v>
      </c>
      <c r="F822" s="1" t="s">
        <v>119</v>
      </c>
    </row>
    <row r="823" spans="1:6" ht="16.5" customHeight="1">
      <c r="A823" t="s">
        <v>146</v>
      </c>
      <c r="B823">
        <v>46</v>
      </c>
      <c r="C823" s="1" t="s">
        <v>104</v>
      </c>
      <c r="D823">
        <v>2820449</v>
      </c>
      <c r="E823" t="str">
        <f>IF($D823="","",VLOOKUP($D823,기준표!$B$4:$C$12,2,TRUE()))</f>
        <v>8단계</v>
      </c>
      <c r="F823" s="1" t="s">
        <v>119</v>
      </c>
    </row>
    <row r="824" spans="1:6" ht="16.5" customHeight="1">
      <c r="A824" t="s">
        <v>146</v>
      </c>
      <c r="B824">
        <v>47</v>
      </c>
      <c r="C824" s="1" t="s">
        <v>95</v>
      </c>
      <c r="D824">
        <v>2782348</v>
      </c>
      <c r="E824" t="str">
        <f>IF($D824="","",VLOOKUP($D824,기준표!$B$4:$C$12,2,TRUE()))</f>
        <v>8단계</v>
      </c>
      <c r="F824" s="1" t="s">
        <v>119</v>
      </c>
    </row>
    <row r="825" spans="1:6" ht="16.5" customHeight="1">
      <c r="A825" t="s">
        <v>146</v>
      </c>
      <c r="B825">
        <v>48</v>
      </c>
      <c r="C825" s="1" t="s">
        <v>96</v>
      </c>
      <c r="D825">
        <v>2578830</v>
      </c>
      <c r="E825" t="str">
        <f>IF($D825="","",VLOOKUP($D825,기준표!$B$4:$C$12,2,TRUE()))</f>
        <v>7단계</v>
      </c>
      <c r="F825" s="1" t="s">
        <v>119</v>
      </c>
    </row>
    <row r="826" spans="1:6" ht="16.5" customHeight="1">
      <c r="A826" t="s">
        <v>146</v>
      </c>
      <c r="B826">
        <v>49</v>
      </c>
      <c r="C826" s="1" t="s">
        <v>81</v>
      </c>
      <c r="D826">
        <v>2450044</v>
      </c>
      <c r="E826" t="str">
        <f>IF($D826="","",VLOOKUP($D826,기준표!$B$4:$C$12,2,TRUE()))</f>
        <v>7단계</v>
      </c>
      <c r="F826" s="1" t="s">
        <v>119</v>
      </c>
    </row>
    <row r="827" spans="1:6" ht="16.5" customHeight="1">
      <c r="A827" t="s">
        <v>146</v>
      </c>
      <c r="B827">
        <v>50</v>
      </c>
      <c r="C827" s="1" t="s">
        <v>101</v>
      </c>
      <c r="D827">
        <v>2386788</v>
      </c>
      <c r="E827" t="str">
        <f>IF($D827="","",VLOOKUP($D827,기준표!$B$4:$C$12,2,TRUE()))</f>
        <v>7단계</v>
      </c>
      <c r="F827" s="1" t="s">
        <v>119</v>
      </c>
    </row>
    <row r="828" spans="1:6" ht="16.5" customHeight="1">
      <c r="A828" t="s">
        <v>146</v>
      </c>
      <c r="B828">
        <v>51</v>
      </c>
      <c r="C828" s="1" t="s">
        <v>92</v>
      </c>
      <c r="D828">
        <v>2142892</v>
      </c>
      <c r="E828" t="str">
        <f>IF($D828="","",VLOOKUP($D828,기준표!$B$4:$C$12,2,TRUE()))</f>
        <v>6단계</v>
      </c>
      <c r="F828" s="1" t="s">
        <v>119</v>
      </c>
    </row>
    <row r="829" spans="1:6" ht="16.5" customHeight="1">
      <c r="A829" t="s">
        <v>146</v>
      </c>
      <c r="B829">
        <v>52</v>
      </c>
      <c r="C829" s="1" t="s">
        <v>109</v>
      </c>
      <c r="D829">
        <v>2123167</v>
      </c>
      <c r="E829" t="str">
        <f>IF($D829="","",VLOOKUP($D829,기준표!$B$4:$C$12,2,TRUE()))</f>
        <v>6단계</v>
      </c>
      <c r="F829" s="1" t="s">
        <v>119</v>
      </c>
    </row>
    <row r="830" spans="1:6" ht="16.5" customHeight="1">
      <c r="A830" t="s">
        <v>146</v>
      </c>
      <c r="B830">
        <v>53</v>
      </c>
      <c r="C830" s="1" t="s">
        <v>88</v>
      </c>
      <c r="D830">
        <v>2002580</v>
      </c>
      <c r="E830" t="str">
        <f>IF($D830="","",VLOOKUP($D830,기준표!$B$4:$C$12,2,TRUE()))</f>
        <v>6단계</v>
      </c>
      <c r="F830" s="1" t="s">
        <v>119</v>
      </c>
    </row>
    <row r="831" spans="1:6" ht="16.5" customHeight="1">
      <c r="A831" t="s">
        <v>146</v>
      </c>
      <c r="B831">
        <v>54</v>
      </c>
      <c r="C831" s="1" t="s">
        <v>77</v>
      </c>
      <c r="D831">
        <v>1690050</v>
      </c>
      <c r="E831" t="str">
        <f>IF($D831="","",VLOOKUP($D831,기준표!$B$4:$C$12,2,TRUE()))</f>
        <v>6단계</v>
      </c>
      <c r="F831" s="1" t="s">
        <v>119</v>
      </c>
    </row>
    <row r="832" spans="1:6" ht="16.5" customHeight="1">
      <c r="A832" t="s">
        <v>146</v>
      </c>
      <c r="B832">
        <v>55</v>
      </c>
      <c r="C832" s="1" t="s">
        <v>103</v>
      </c>
      <c r="D832">
        <v>1440000</v>
      </c>
      <c r="E832" t="str">
        <f>IF($D832="","",VLOOKUP($D832,기준표!$B$4:$C$12,2,TRUE()))</f>
        <v>6단계</v>
      </c>
      <c r="F832" s="1" t="s">
        <v>119</v>
      </c>
    </row>
    <row r="833" spans="1:6" ht="16.5" customHeight="1">
      <c r="A833" t="s">
        <v>146</v>
      </c>
      <c r="B833">
        <v>56</v>
      </c>
      <c r="C833" s="1" t="s">
        <v>113</v>
      </c>
      <c r="D833">
        <v>1250245</v>
      </c>
      <c r="E833" t="str">
        <f>IF($D833="","",VLOOKUP($D833,기준표!$B$4:$C$12,2,TRUE()))</f>
        <v>6단계</v>
      </c>
      <c r="F833" s="1" t="s">
        <v>119</v>
      </c>
    </row>
    <row r="834" spans="1:6" ht="16.5" customHeight="1">
      <c r="A834" t="s">
        <v>146</v>
      </c>
      <c r="B834">
        <v>57</v>
      </c>
      <c r="C834" s="8">
        <v>1090</v>
      </c>
      <c r="D834">
        <v>1230204</v>
      </c>
      <c r="E834" t="str">
        <f>IF($D834="","",VLOOKUP($D834,기준표!$B$4:$C$12,2,TRUE()))</f>
        <v>6단계</v>
      </c>
      <c r="F834" s="1" t="s">
        <v>119</v>
      </c>
    </row>
    <row r="835" spans="1:6" ht="16.5" customHeight="1">
      <c r="A835" t="s">
        <v>146</v>
      </c>
      <c r="B835">
        <v>58</v>
      </c>
      <c r="C835" s="1" t="s">
        <v>105</v>
      </c>
      <c r="D835">
        <v>1079680</v>
      </c>
      <c r="E835" t="str">
        <f>IF($D835="","",VLOOKUP($D835,기준표!$B$4:$C$12,2,TRUE()))</f>
        <v>6단계</v>
      </c>
      <c r="F835" s="1" t="s">
        <v>119</v>
      </c>
    </row>
    <row r="836" spans="1:6" ht="16.5" customHeight="1">
      <c r="A836" t="s">
        <v>146</v>
      </c>
      <c r="B836">
        <v>59</v>
      </c>
      <c r="C836" s="1" t="s">
        <v>111</v>
      </c>
      <c r="D836">
        <v>864853</v>
      </c>
      <c r="E836" t="str">
        <f>IF($D836="","",VLOOKUP($D836,기준표!$B$4:$C$12,2,TRUE()))</f>
        <v>5단계</v>
      </c>
      <c r="F836" s="1" t="s">
        <v>119</v>
      </c>
    </row>
    <row r="837" spans="1:6" ht="16.5" customHeight="1">
      <c r="A837" t="s">
        <v>146</v>
      </c>
      <c r="B837">
        <v>60</v>
      </c>
      <c r="C837" s="1" t="s">
        <v>78</v>
      </c>
      <c r="D837">
        <v>841814</v>
      </c>
      <c r="E837" t="str">
        <f>IF($D837="","",VLOOKUP($D837,기준표!$B$4:$C$12,2,TRUE()))</f>
        <v>5단계</v>
      </c>
      <c r="F837" s="1" t="s">
        <v>119</v>
      </c>
    </row>
    <row r="838" spans="1:6" ht="16.5" customHeight="1">
      <c r="A838" t="s">
        <v>146</v>
      </c>
      <c r="B838">
        <v>61</v>
      </c>
      <c r="C838" s="1" t="s">
        <v>102</v>
      </c>
      <c r="D838">
        <v>601911</v>
      </c>
      <c r="E838" t="str">
        <f>IF($D838="","",VLOOKUP($D838,기준표!$B$4:$C$12,2,TRUE()))</f>
        <v>4단계</v>
      </c>
      <c r="F838" s="1" t="s">
        <v>119</v>
      </c>
    </row>
    <row r="839" spans="1:6" ht="16.5" customHeight="1">
      <c r="A839" t="s">
        <v>146</v>
      </c>
      <c r="B839">
        <v>62</v>
      </c>
      <c r="C839" s="1" t="s">
        <v>99</v>
      </c>
      <c r="D839">
        <v>596625</v>
      </c>
      <c r="E839" t="str">
        <f>IF($D839="","",VLOOKUP($D839,기준표!$B$4:$C$12,2,TRUE()))</f>
        <v>4단계</v>
      </c>
      <c r="F839" s="1" t="s">
        <v>119</v>
      </c>
    </row>
    <row r="840" spans="1:6" ht="16.5" customHeight="1">
      <c r="A840" t="s">
        <v>146</v>
      </c>
      <c r="B840">
        <v>63</v>
      </c>
      <c r="C840" s="1" t="s">
        <v>139</v>
      </c>
      <c r="D840">
        <v>495000</v>
      </c>
      <c r="E840" t="str">
        <f>IF($D840="","",VLOOKUP($D840,기준표!$B$4:$C$12,2,TRUE()))</f>
        <v>3단계</v>
      </c>
      <c r="F840" s="1" t="s">
        <v>119</v>
      </c>
    </row>
    <row r="841" spans="1:6" ht="16.5" customHeight="1">
      <c r="A841" t="s">
        <v>147</v>
      </c>
      <c r="B841" t="s">
        <v>116</v>
      </c>
      <c r="C841" t="s">
        <v>148</v>
      </c>
      <c r="E841" s="3" t="str">
        <f>IF($D841="","",VLOOKUP($D841,기준표!$B$4:$C$12,2,TRUE()))</f>
        <v/>
      </c>
      <c r="F841" s="1" t="s">
        <v>119</v>
      </c>
    </row>
    <row r="842" spans="1:6" ht="16.5" customHeight="1">
      <c r="A842" t="s">
        <v>147</v>
      </c>
      <c r="B842">
        <v>1</v>
      </c>
      <c r="C842" t="s">
        <v>57</v>
      </c>
      <c r="D842">
        <v>29804185</v>
      </c>
      <c r="E842" t="str">
        <f>IF($D842="","",VLOOKUP($D842,기준표!$B$4:$C$12,2,TRUE()))</f>
        <v>9단계</v>
      </c>
      <c r="F842" s="1" t="s">
        <v>119</v>
      </c>
    </row>
    <row r="843" spans="1:6">
      <c r="A843" t="s">
        <v>147</v>
      </c>
      <c r="B843">
        <v>2</v>
      </c>
      <c r="C843" s="1" t="s">
        <v>118</v>
      </c>
      <c r="D843">
        <v>24067014</v>
      </c>
      <c r="E843" t="str">
        <f>IF($D843="","",VLOOKUP($D843,기준표!$B$4:$C$12,2,TRUE()))</f>
        <v>9단계</v>
      </c>
      <c r="F843" s="1" t="s">
        <v>119</v>
      </c>
    </row>
    <row r="844" spans="1:6">
      <c r="A844" t="s">
        <v>147</v>
      </c>
      <c r="B844">
        <v>3</v>
      </c>
      <c r="C844" s="1" t="s">
        <v>51</v>
      </c>
      <c r="D844">
        <v>22406464</v>
      </c>
      <c r="E844" t="str">
        <f>IF($D844="","",VLOOKUP($D844,기준표!$B$4:$C$12,2,TRUE()))</f>
        <v>9단계</v>
      </c>
      <c r="F844" s="1" t="s">
        <v>119</v>
      </c>
    </row>
    <row r="845" spans="1:6">
      <c r="A845" t="s">
        <v>147</v>
      </c>
      <c r="B845">
        <v>4</v>
      </c>
      <c r="C845" s="1" t="s">
        <v>126</v>
      </c>
      <c r="D845">
        <v>17624520</v>
      </c>
      <c r="E845" t="str">
        <f>IF($D845="","",VLOOKUP($D845,기준표!$B$4:$C$12,2,TRUE()))</f>
        <v>9단계</v>
      </c>
      <c r="F845" s="1" t="s">
        <v>119</v>
      </c>
    </row>
    <row r="846" spans="1:6">
      <c r="A846" t="s">
        <v>147</v>
      </c>
      <c r="B846">
        <v>5</v>
      </c>
      <c r="C846" s="1" t="s">
        <v>75</v>
      </c>
      <c r="D846">
        <v>15982694</v>
      </c>
      <c r="E846" t="str">
        <f>IF($D846="","",VLOOKUP($D846,기준표!$B$4:$C$12,2,TRUE()))</f>
        <v>9단계</v>
      </c>
      <c r="F846" s="1" t="s">
        <v>119</v>
      </c>
    </row>
    <row r="847" spans="1:6">
      <c r="A847" t="s">
        <v>147</v>
      </c>
      <c r="B847">
        <v>6</v>
      </c>
      <c r="C847" s="1" t="s">
        <v>64</v>
      </c>
      <c r="D847">
        <v>15246393</v>
      </c>
      <c r="E847" t="str">
        <f>IF($D847="","",VLOOKUP($D847,기준표!$B$4:$C$12,2,TRUE()))</f>
        <v>9단계</v>
      </c>
      <c r="F847" s="1" t="s">
        <v>119</v>
      </c>
    </row>
    <row r="848" spans="1:6">
      <c r="A848" t="s">
        <v>147</v>
      </c>
      <c r="B848">
        <v>7</v>
      </c>
      <c r="C848" s="1" t="s">
        <v>17</v>
      </c>
      <c r="D848">
        <v>13164060</v>
      </c>
      <c r="E848" t="str">
        <f>IF($D848="","",VLOOKUP($D848,기준표!$B$4:$C$12,2,TRUE()))</f>
        <v>9단계</v>
      </c>
      <c r="F848" s="1" t="s">
        <v>119</v>
      </c>
    </row>
    <row r="849" spans="1:6">
      <c r="A849" t="s">
        <v>147</v>
      </c>
      <c r="B849">
        <v>8</v>
      </c>
      <c r="C849" s="1" t="s">
        <v>20</v>
      </c>
      <c r="D849">
        <v>11628417</v>
      </c>
      <c r="E849" t="str">
        <f>IF($D849="","",VLOOKUP($D849,기준표!$B$4:$C$12,2,TRUE()))</f>
        <v>9단계</v>
      </c>
      <c r="F849" s="1" t="s">
        <v>119</v>
      </c>
    </row>
    <row r="850" spans="1:6">
      <c r="A850" t="s">
        <v>147</v>
      </c>
      <c r="B850">
        <v>9</v>
      </c>
      <c r="C850" t="s">
        <v>69</v>
      </c>
      <c r="D850">
        <v>11465858</v>
      </c>
      <c r="E850" t="str">
        <f>IF($D850="","",VLOOKUP($D850,기준표!$B$4:$C$12,2,TRUE()))</f>
        <v>9단계</v>
      </c>
      <c r="F850" s="1" t="s">
        <v>119</v>
      </c>
    </row>
    <row r="851" spans="1:6">
      <c r="A851" t="s">
        <v>147</v>
      </c>
      <c r="B851">
        <v>10</v>
      </c>
      <c r="C851" s="1" t="s">
        <v>61</v>
      </c>
      <c r="D851">
        <v>11208043</v>
      </c>
      <c r="E851" t="str">
        <f>IF($D851="","",VLOOKUP($D851,기준표!$B$4:$C$12,2,TRUE()))</f>
        <v>9단계</v>
      </c>
      <c r="F851" s="1" t="s">
        <v>119</v>
      </c>
    </row>
    <row r="852" spans="1:6">
      <c r="A852" t="s">
        <v>147</v>
      </c>
      <c r="B852">
        <v>11</v>
      </c>
      <c r="C852" s="1" t="s">
        <v>60</v>
      </c>
      <c r="D852">
        <v>11155772</v>
      </c>
      <c r="E852" t="str">
        <f>IF($D852="","",VLOOKUP($D852,기준표!$B$4:$C$12,2,TRUE()))</f>
        <v>9단계</v>
      </c>
      <c r="F852" s="1" t="s">
        <v>119</v>
      </c>
    </row>
    <row r="853" spans="1:6">
      <c r="A853" t="s">
        <v>147</v>
      </c>
      <c r="B853">
        <v>12</v>
      </c>
      <c r="C853" s="1" t="s">
        <v>63</v>
      </c>
      <c r="D853">
        <v>10932284</v>
      </c>
      <c r="E853" t="str">
        <f>IF($D853="","",VLOOKUP($D853,기준표!$B$4:$C$12,2,TRUE()))</f>
        <v>9단계</v>
      </c>
      <c r="F853" s="1" t="s">
        <v>119</v>
      </c>
    </row>
    <row r="854" spans="1:6">
      <c r="A854" t="s">
        <v>147</v>
      </c>
      <c r="B854">
        <v>13</v>
      </c>
      <c r="C854" s="1" t="s">
        <v>56</v>
      </c>
      <c r="D854">
        <v>10802063</v>
      </c>
      <c r="E854" t="str">
        <f>IF($D854="","",VLOOKUP($D854,기준표!$B$4:$C$12,2,TRUE()))</f>
        <v>9단계</v>
      </c>
      <c r="F854" s="1" t="s">
        <v>119</v>
      </c>
    </row>
    <row r="855" spans="1:6">
      <c r="A855" t="s">
        <v>147</v>
      </c>
      <c r="B855">
        <v>14</v>
      </c>
      <c r="C855" s="1" t="s">
        <v>82</v>
      </c>
      <c r="D855">
        <v>10247494</v>
      </c>
      <c r="E855" t="str">
        <f>IF($D855="","",VLOOKUP($D855,기준표!$B$4:$C$12,2,TRUE()))</f>
        <v>9단계</v>
      </c>
      <c r="F855" s="1" t="s">
        <v>119</v>
      </c>
    </row>
    <row r="856" spans="1:6">
      <c r="A856" t="s">
        <v>147</v>
      </c>
      <c r="B856">
        <v>15</v>
      </c>
      <c r="C856" s="1" t="s">
        <v>123</v>
      </c>
      <c r="D856">
        <v>10226891</v>
      </c>
      <c r="E856" t="str">
        <f>IF($D856="","",VLOOKUP($D856,기준표!$B$4:$C$12,2,TRUE()))</f>
        <v>9단계</v>
      </c>
      <c r="F856" s="1" t="s">
        <v>119</v>
      </c>
    </row>
    <row r="857" spans="1:6">
      <c r="A857" t="s">
        <v>147</v>
      </c>
      <c r="B857">
        <v>16</v>
      </c>
      <c r="C857" s="1" t="s">
        <v>106</v>
      </c>
      <c r="D857">
        <v>10167816</v>
      </c>
      <c r="E857" t="str">
        <f>IF($D857="","",VLOOKUP($D857,기준표!$B$4:$C$12,2,TRUE()))</f>
        <v>9단계</v>
      </c>
      <c r="F857" s="1" t="s">
        <v>119</v>
      </c>
    </row>
    <row r="858" spans="1:6">
      <c r="A858" t="s">
        <v>147</v>
      </c>
      <c r="B858">
        <v>17</v>
      </c>
      <c r="C858" s="1" t="s">
        <v>130</v>
      </c>
      <c r="D858">
        <v>10149587</v>
      </c>
      <c r="E858" t="str">
        <f>IF($D858="","",VLOOKUP($D858,기준표!$B$4:$C$12,2,TRUE()))</f>
        <v>9단계</v>
      </c>
      <c r="F858" s="1" t="s">
        <v>119</v>
      </c>
    </row>
    <row r="859" spans="1:6">
      <c r="A859" t="s">
        <v>147</v>
      </c>
      <c r="B859">
        <v>18</v>
      </c>
      <c r="C859" s="1" t="s">
        <v>62</v>
      </c>
      <c r="D859">
        <v>10074439</v>
      </c>
      <c r="E859" t="str">
        <f>IF($D859="","",VLOOKUP($D859,기준표!$B$4:$C$12,2,TRUE()))</f>
        <v>9단계</v>
      </c>
      <c r="F859" s="1" t="s">
        <v>119</v>
      </c>
    </row>
    <row r="860" spans="1:6">
      <c r="A860" t="s">
        <v>147</v>
      </c>
      <c r="B860">
        <v>19</v>
      </c>
      <c r="C860" s="1" t="s">
        <v>85</v>
      </c>
      <c r="D860">
        <v>9985677</v>
      </c>
      <c r="E860" t="str">
        <f>IF($D860="","",VLOOKUP($D860,기준표!$B$4:$C$12,2,TRUE()))</f>
        <v>9단계</v>
      </c>
      <c r="F860" s="1" t="s">
        <v>119</v>
      </c>
    </row>
    <row r="861" spans="1:6">
      <c r="A861" t="s">
        <v>147</v>
      </c>
      <c r="B861">
        <v>20</v>
      </c>
      <c r="C861" s="1" t="s">
        <v>5</v>
      </c>
      <c r="D861">
        <v>9630046</v>
      </c>
      <c r="E861" t="str">
        <f>IF($D861="","",VLOOKUP($D861,기준표!$B$4:$C$12,2,TRUE()))</f>
        <v>9단계</v>
      </c>
      <c r="F861" s="1" t="s">
        <v>119</v>
      </c>
    </row>
    <row r="862" spans="1:6">
      <c r="A862" t="s">
        <v>147</v>
      </c>
      <c r="B862">
        <v>21</v>
      </c>
      <c r="C862" s="1" t="s">
        <v>84</v>
      </c>
      <c r="D862">
        <v>9290062</v>
      </c>
      <c r="E862" t="str">
        <f>IF($D862="","",VLOOKUP($D862,기준표!$B$4:$C$12,2,TRUE()))</f>
        <v>9단계</v>
      </c>
      <c r="F862" s="1" t="s">
        <v>119</v>
      </c>
    </row>
    <row r="863" spans="1:6">
      <c r="A863" t="s">
        <v>147</v>
      </c>
      <c r="B863">
        <v>22</v>
      </c>
      <c r="C863" s="1" t="s">
        <v>77</v>
      </c>
      <c r="D863">
        <v>8706768</v>
      </c>
      <c r="E863" t="str">
        <f>IF($D863="","",VLOOKUP($D863,기준표!$B$4:$C$12,2,TRUE()))</f>
        <v>9단계</v>
      </c>
      <c r="F863" s="1" t="s">
        <v>119</v>
      </c>
    </row>
    <row r="864" spans="1:6">
      <c r="A864" t="s">
        <v>147</v>
      </c>
      <c r="B864">
        <v>23</v>
      </c>
      <c r="C864" s="1" t="s">
        <v>122</v>
      </c>
      <c r="D864">
        <v>8484837</v>
      </c>
      <c r="E864" t="str">
        <f>IF($D864="","",VLOOKUP($D864,기준표!$B$4:$C$12,2,TRUE()))</f>
        <v>9단계</v>
      </c>
      <c r="F864" s="1" t="s">
        <v>119</v>
      </c>
    </row>
    <row r="865" spans="1:6">
      <c r="A865" t="s">
        <v>147</v>
      </c>
      <c r="B865">
        <v>24</v>
      </c>
      <c r="C865" s="1" t="s">
        <v>71</v>
      </c>
      <c r="D865">
        <v>8483716</v>
      </c>
      <c r="E865" t="str">
        <f>IF($D865="","",VLOOKUP($D865,기준표!$B$4:$C$12,2,TRUE()))</f>
        <v>9단계</v>
      </c>
      <c r="F865" s="1" t="s">
        <v>119</v>
      </c>
    </row>
    <row r="866" spans="1:6">
      <c r="A866" t="s">
        <v>147</v>
      </c>
      <c r="B866">
        <v>25</v>
      </c>
      <c r="C866" s="1" t="s">
        <v>94</v>
      </c>
      <c r="D866">
        <v>8300673</v>
      </c>
      <c r="E866" t="str">
        <f>IF($D866="","",VLOOKUP($D866,기준표!$B$4:$C$12,2,TRUE()))</f>
        <v>9단계</v>
      </c>
      <c r="F866" s="1" t="s">
        <v>119</v>
      </c>
    </row>
    <row r="867" spans="1:6">
      <c r="A867" t="s">
        <v>147</v>
      </c>
      <c r="B867">
        <v>26</v>
      </c>
      <c r="C867" s="1" t="s">
        <v>86</v>
      </c>
      <c r="D867">
        <v>8173435</v>
      </c>
      <c r="E867" t="str">
        <f>IF($D867="","",VLOOKUP($D867,기준표!$B$4:$C$12,2,TRUE()))</f>
        <v>9단계</v>
      </c>
      <c r="F867" s="1" t="s">
        <v>119</v>
      </c>
    </row>
    <row r="868" spans="1:6">
      <c r="A868" t="s">
        <v>147</v>
      </c>
      <c r="B868">
        <v>27</v>
      </c>
      <c r="C868" s="1" t="s">
        <v>67</v>
      </c>
      <c r="D868">
        <v>7997114</v>
      </c>
      <c r="E868" t="str">
        <f>IF($D868="","",VLOOKUP($D868,기준표!$B$4:$C$12,2,TRUE()))</f>
        <v>9단계</v>
      </c>
      <c r="F868" s="1" t="s">
        <v>119</v>
      </c>
    </row>
    <row r="869" spans="1:6">
      <c r="A869" t="s">
        <v>147</v>
      </c>
      <c r="B869">
        <v>28</v>
      </c>
      <c r="C869" s="1" t="s">
        <v>80</v>
      </c>
      <c r="D869">
        <v>7994313</v>
      </c>
      <c r="E869" t="str">
        <f>IF($D869="","",VLOOKUP($D869,기준표!$B$4:$C$12,2,TRUE()))</f>
        <v>9단계</v>
      </c>
      <c r="F869" s="1" t="s">
        <v>119</v>
      </c>
    </row>
    <row r="870" spans="1:6">
      <c r="A870" t="s">
        <v>147</v>
      </c>
      <c r="B870">
        <v>29</v>
      </c>
      <c r="C870" s="1" t="s">
        <v>54</v>
      </c>
      <c r="D870">
        <v>7984024</v>
      </c>
      <c r="E870" t="str">
        <f>IF($D870="","",VLOOKUP($D870,기준표!$B$4:$C$12,2,TRUE()))</f>
        <v>9단계</v>
      </c>
      <c r="F870" s="1" t="s">
        <v>119</v>
      </c>
    </row>
    <row r="871" spans="1:6">
      <c r="A871" t="s">
        <v>147</v>
      </c>
      <c r="B871">
        <v>30</v>
      </c>
      <c r="C871" s="1" t="s">
        <v>129</v>
      </c>
      <c r="D871">
        <v>7983166</v>
      </c>
      <c r="E871" t="str">
        <f>IF($D871="","",VLOOKUP($D871,기준표!$B$4:$C$12,2,TRUE()))</f>
        <v>9단계</v>
      </c>
      <c r="F871" s="1" t="s">
        <v>119</v>
      </c>
    </row>
    <row r="872" spans="1:6">
      <c r="A872" t="s">
        <v>147</v>
      </c>
      <c r="B872">
        <v>31</v>
      </c>
      <c r="C872" s="1" t="s">
        <v>105</v>
      </c>
      <c r="D872">
        <v>7954445</v>
      </c>
      <c r="E872" t="str">
        <f>IF($D872="","",VLOOKUP($D872,기준표!$B$4:$C$12,2,TRUE()))</f>
        <v>9단계</v>
      </c>
      <c r="F872" s="1" t="s">
        <v>119</v>
      </c>
    </row>
    <row r="873" spans="1:6">
      <c r="A873" t="s">
        <v>147</v>
      </c>
      <c r="B873">
        <v>32</v>
      </c>
      <c r="C873" s="1" t="s">
        <v>11</v>
      </c>
      <c r="D873">
        <v>7851695</v>
      </c>
      <c r="E873" t="str">
        <f>IF($D873="","",VLOOKUP($D873,기준표!$B$4:$C$12,2,TRUE()))</f>
        <v>9단계</v>
      </c>
      <c r="F873" s="1" t="s">
        <v>119</v>
      </c>
    </row>
    <row r="874" spans="1:6">
      <c r="A874" t="s">
        <v>147</v>
      </c>
      <c r="B874">
        <v>33</v>
      </c>
      <c r="C874" s="1" t="s">
        <v>7</v>
      </c>
      <c r="D874">
        <v>7778174</v>
      </c>
      <c r="E874" t="str">
        <f>IF($D874="","",VLOOKUP($D874,기준표!$B$4:$C$12,2,TRUE()))</f>
        <v>9단계</v>
      </c>
      <c r="F874" s="1" t="s">
        <v>119</v>
      </c>
    </row>
    <row r="875" spans="1:6">
      <c r="A875" t="s">
        <v>147</v>
      </c>
      <c r="B875">
        <v>34</v>
      </c>
      <c r="C875" s="1" t="s">
        <v>136</v>
      </c>
      <c r="D875">
        <v>7746102</v>
      </c>
      <c r="E875" t="str">
        <f>IF($D875="","",VLOOKUP($D875,기준표!$B$4:$C$12,2,TRUE()))</f>
        <v>9단계</v>
      </c>
      <c r="F875" s="1" t="s">
        <v>119</v>
      </c>
    </row>
    <row r="876" spans="1:6">
      <c r="A876" t="s">
        <v>147</v>
      </c>
      <c r="B876">
        <v>35</v>
      </c>
      <c r="C876" s="1" t="s">
        <v>3</v>
      </c>
      <c r="D876">
        <v>7448032</v>
      </c>
      <c r="E876" t="str">
        <f>IF($D876="","",VLOOKUP($D876,기준표!$B$4:$C$12,2,TRUE()))</f>
        <v>9단계</v>
      </c>
      <c r="F876" s="1" t="s">
        <v>119</v>
      </c>
    </row>
    <row r="877" spans="1:6">
      <c r="A877" t="s">
        <v>147</v>
      </c>
      <c r="B877">
        <v>36</v>
      </c>
      <c r="C877" s="1" t="s">
        <v>9</v>
      </c>
      <c r="D877">
        <v>7312380</v>
      </c>
      <c r="E877" t="str">
        <f>IF($D877="","",VLOOKUP($D877,기준표!$B$4:$C$12,2,TRUE()))</f>
        <v>9단계</v>
      </c>
      <c r="F877" s="1" t="s">
        <v>119</v>
      </c>
    </row>
    <row r="878" spans="1:6">
      <c r="A878" t="s">
        <v>147</v>
      </c>
      <c r="B878">
        <v>37</v>
      </c>
      <c r="C878" s="1" t="s">
        <v>127</v>
      </c>
      <c r="D878">
        <v>7305386</v>
      </c>
      <c r="E878" t="str">
        <f>IF($D878="","",VLOOKUP($D878,기준표!$B$4:$C$12,2,TRUE()))</f>
        <v>9단계</v>
      </c>
      <c r="F878" s="1" t="s">
        <v>119</v>
      </c>
    </row>
    <row r="879" spans="1:6">
      <c r="A879" t="s">
        <v>147</v>
      </c>
      <c r="B879">
        <v>38</v>
      </c>
      <c r="C879" s="1" t="s">
        <v>93</v>
      </c>
      <c r="D879">
        <v>7280144</v>
      </c>
      <c r="E879" t="str">
        <f>IF($D879="","",VLOOKUP($D879,기준표!$B$4:$C$12,2,TRUE()))</f>
        <v>9단계</v>
      </c>
      <c r="F879" s="1" t="s">
        <v>119</v>
      </c>
    </row>
    <row r="880" spans="1:6">
      <c r="A880" t="s">
        <v>147</v>
      </c>
      <c r="B880">
        <v>39</v>
      </c>
      <c r="C880" s="1" t="s">
        <v>81</v>
      </c>
      <c r="D880">
        <v>7266758</v>
      </c>
      <c r="E880" t="str">
        <f>IF($D880="","",VLOOKUP($D880,기준표!$B$4:$C$12,2,TRUE()))</f>
        <v>9단계</v>
      </c>
      <c r="F880" s="1" t="s">
        <v>119</v>
      </c>
    </row>
    <row r="881" spans="1:6">
      <c r="A881" t="s">
        <v>147</v>
      </c>
      <c r="B881">
        <v>40</v>
      </c>
      <c r="C881" s="1" t="s">
        <v>74</v>
      </c>
      <c r="D881">
        <v>7242009</v>
      </c>
      <c r="E881" t="str">
        <f>IF($D881="","",VLOOKUP($D881,기준표!$B$4:$C$12,2,TRUE()))</f>
        <v>9단계</v>
      </c>
      <c r="F881" s="1" t="s">
        <v>119</v>
      </c>
    </row>
    <row r="882" spans="1:6">
      <c r="A882" t="s">
        <v>147</v>
      </c>
      <c r="B882">
        <v>41</v>
      </c>
      <c r="C882" s="1" t="s">
        <v>65</v>
      </c>
      <c r="D882">
        <v>7218767</v>
      </c>
      <c r="E882" t="str">
        <f>IF($D882="","",VLOOKUP($D882,기준표!$B$4:$C$12,2,TRUE()))</f>
        <v>9단계</v>
      </c>
      <c r="F882" s="1" t="s">
        <v>119</v>
      </c>
    </row>
    <row r="883" spans="1:6">
      <c r="A883" t="s">
        <v>147</v>
      </c>
      <c r="B883">
        <v>42</v>
      </c>
      <c r="C883" s="1" t="s">
        <v>88</v>
      </c>
      <c r="D883">
        <v>5288152</v>
      </c>
      <c r="E883" t="str">
        <f>IF($D883="","",VLOOKUP($D883,기준표!$B$4:$C$12,2,TRUE()))</f>
        <v>8단계</v>
      </c>
      <c r="F883" s="1" t="s">
        <v>119</v>
      </c>
    </row>
    <row r="884" spans="1:6">
      <c r="A884" t="s">
        <v>147</v>
      </c>
      <c r="B884">
        <v>43</v>
      </c>
      <c r="C884" s="1" t="s">
        <v>96</v>
      </c>
      <c r="D884">
        <v>5246884</v>
      </c>
      <c r="E884" t="str">
        <f>IF($D884="","",VLOOKUP($D884,기준표!$B$4:$C$12,2,TRUE()))</f>
        <v>8단계</v>
      </c>
      <c r="F884" s="1" t="s">
        <v>119</v>
      </c>
    </row>
    <row r="885" spans="1:6">
      <c r="A885" t="s">
        <v>147</v>
      </c>
      <c r="B885">
        <v>44</v>
      </c>
      <c r="C885" s="1" t="s">
        <v>79</v>
      </c>
      <c r="D885">
        <v>5094316</v>
      </c>
      <c r="E885" t="str">
        <f>IF($D885="","",VLOOKUP($D885,기준표!$B$4:$C$12,2,TRUE()))</f>
        <v>8단계</v>
      </c>
      <c r="F885" s="1" t="s">
        <v>119</v>
      </c>
    </row>
    <row r="886" spans="1:6">
      <c r="A886" t="s">
        <v>147</v>
      </c>
      <c r="B886">
        <v>45</v>
      </c>
      <c r="C886" s="1" t="s">
        <v>100</v>
      </c>
      <c r="D886">
        <v>4363947</v>
      </c>
      <c r="E886" t="str">
        <f>IF($D886="","",VLOOKUP($D886,기준표!$B$4:$C$12,2,TRUE()))</f>
        <v>8단계</v>
      </c>
      <c r="F886" s="1" t="s">
        <v>119</v>
      </c>
    </row>
    <row r="887" spans="1:6">
      <c r="A887" t="s">
        <v>147</v>
      </c>
      <c r="B887">
        <v>46</v>
      </c>
      <c r="C887" s="1" t="s">
        <v>104</v>
      </c>
      <c r="D887">
        <v>4343106</v>
      </c>
      <c r="E887" t="str">
        <f>IF($D887="","",VLOOKUP($D887,기준표!$B$4:$C$12,2,TRUE()))</f>
        <v>8단계</v>
      </c>
      <c r="F887" s="1" t="s">
        <v>119</v>
      </c>
    </row>
    <row r="888" spans="1:6">
      <c r="A888" t="s">
        <v>147</v>
      </c>
      <c r="B888">
        <v>47</v>
      </c>
      <c r="C888" s="1" t="s">
        <v>78</v>
      </c>
      <c r="D888">
        <v>4253472</v>
      </c>
      <c r="E888" t="str">
        <f>IF($D888="","",VLOOKUP($D888,기준표!$B$4:$C$12,2,TRUE()))</f>
        <v>8단계</v>
      </c>
      <c r="F888" s="1" t="s">
        <v>119</v>
      </c>
    </row>
    <row r="889" spans="1:6">
      <c r="A889" t="s">
        <v>147</v>
      </c>
      <c r="B889">
        <v>48</v>
      </c>
      <c r="C889" s="1" t="s">
        <v>101</v>
      </c>
      <c r="D889">
        <v>4176635</v>
      </c>
      <c r="E889" t="str">
        <f>IF($D889="","",VLOOKUP($D889,기준표!$B$4:$C$12,2,TRUE()))</f>
        <v>8단계</v>
      </c>
      <c r="F889" s="1" t="s">
        <v>119</v>
      </c>
    </row>
    <row r="890" spans="1:6">
      <c r="A890" t="s">
        <v>147</v>
      </c>
      <c r="B890">
        <v>49</v>
      </c>
      <c r="C890" s="1" t="s">
        <v>103</v>
      </c>
      <c r="D890">
        <v>3789086</v>
      </c>
      <c r="E890" t="str">
        <f>IF($D890="","",VLOOKUP($D890,기준표!$B$4:$C$12,2,TRUE()))</f>
        <v>8단계</v>
      </c>
      <c r="F890" s="1" t="s">
        <v>119</v>
      </c>
    </row>
    <row r="891" spans="1:6">
      <c r="A891" t="s">
        <v>147</v>
      </c>
      <c r="B891">
        <v>50</v>
      </c>
      <c r="C891" t="s">
        <v>110</v>
      </c>
      <c r="D891">
        <v>3358112</v>
      </c>
      <c r="E891" t="str">
        <f>IF($D891="","",VLOOKUP($D891,기준표!$B$4:$C$12,2,TRUE()))</f>
        <v>8단계</v>
      </c>
      <c r="F891" s="1" t="s">
        <v>119</v>
      </c>
    </row>
    <row r="892" spans="1:6">
      <c r="A892" t="s">
        <v>147</v>
      </c>
      <c r="B892">
        <v>51</v>
      </c>
      <c r="C892" s="1" t="s">
        <v>109</v>
      </c>
      <c r="D892">
        <v>3154420</v>
      </c>
      <c r="E892" t="str">
        <f>IF($D892="","",VLOOKUP($D892,기준표!$B$4:$C$12,2,TRUE()))</f>
        <v>8단계</v>
      </c>
      <c r="F892" s="1" t="s">
        <v>119</v>
      </c>
    </row>
    <row r="893" spans="1:6">
      <c r="A893" t="s">
        <v>147</v>
      </c>
      <c r="B893">
        <v>52</v>
      </c>
      <c r="C893" s="1" t="s">
        <v>83</v>
      </c>
      <c r="D893">
        <v>3102924</v>
      </c>
      <c r="E893" t="str">
        <f>IF($D893="","",VLOOKUP($D893,기준표!$B$4:$C$12,2,TRUE()))</f>
        <v>8단계</v>
      </c>
      <c r="F893" s="1" t="s">
        <v>119</v>
      </c>
    </row>
    <row r="894" spans="1:6">
      <c r="A894" t="s">
        <v>147</v>
      </c>
      <c r="B894">
        <v>53</v>
      </c>
      <c r="C894" s="1" t="s">
        <v>139</v>
      </c>
      <c r="D894">
        <v>2768087</v>
      </c>
      <c r="E894" t="str">
        <f>IF($D894="","",VLOOKUP($D894,기준표!$B$4:$C$12,2,TRUE()))</f>
        <v>8단계</v>
      </c>
      <c r="F894" s="1" t="s">
        <v>119</v>
      </c>
    </row>
    <row r="895" spans="1:6">
      <c r="A895" t="s">
        <v>147</v>
      </c>
      <c r="B895">
        <v>54</v>
      </c>
      <c r="C895" s="1" t="s">
        <v>135</v>
      </c>
      <c r="D895">
        <v>2496156</v>
      </c>
      <c r="E895" t="str">
        <f>IF($D895="","",VLOOKUP($D895,기준표!$B$4:$C$12,2,TRUE()))</f>
        <v>7단계</v>
      </c>
      <c r="F895" s="1" t="s">
        <v>119</v>
      </c>
    </row>
    <row r="896" spans="1:6">
      <c r="A896" t="s">
        <v>147</v>
      </c>
      <c r="B896">
        <v>55</v>
      </c>
      <c r="C896" s="1" t="s">
        <v>58</v>
      </c>
      <c r="D896">
        <v>2159850</v>
      </c>
      <c r="E896" t="str">
        <f>IF($D896="","",VLOOKUP($D896,기준표!$B$4:$C$12,2,TRUE()))</f>
        <v>6단계</v>
      </c>
      <c r="F896" s="1" t="s">
        <v>119</v>
      </c>
    </row>
    <row r="897" spans="1:6">
      <c r="A897" t="s">
        <v>147</v>
      </c>
      <c r="B897">
        <v>56</v>
      </c>
      <c r="C897" s="1" t="s">
        <v>99</v>
      </c>
      <c r="D897">
        <v>2055681</v>
      </c>
      <c r="E897" t="str">
        <f>IF($D897="","",VLOOKUP($D897,기준표!$B$4:$C$12,2,TRUE()))</f>
        <v>6단계</v>
      </c>
      <c r="F897" s="1" t="s">
        <v>119</v>
      </c>
    </row>
    <row r="898" spans="1:6">
      <c r="A898" t="s">
        <v>147</v>
      </c>
      <c r="B898">
        <v>57</v>
      </c>
      <c r="C898" s="1" t="s">
        <v>111</v>
      </c>
      <c r="D898">
        <v>1685500</v>
      </c>
      <c r="E898" t="str">
        <f>IF($D898="","",VLOOKUP($D898,기준표!$B$4:$C$12,2,TRUE()))</f>
        <v>6단계</v>
      </c>
      <c r="F898" s="1" t="s">
        <v>119</v>
      </c>
    </row>
    <row r="899" spans="1:6">
      <c r="A899" t="s">
        <v>147</v>
      </c>
      <c r="B899">
        <v>58</v>
      </c>
      <c r="C899" s="1" t="s">
        <v>102</v>
      </c>
      <c r="D899">
        <v>1605500</v>
      </c>
      <c r="E899" t="str">
        <f>IF($D899="","",VLOOKUP($D899,기준표!$B$4:$C$12,2,TRUE()))</f>
        <v>6단계</v>
      </c>
      <c r="F899" s="1" t="s">
        <v>119</v>
      </c>
    </row>
    <row r="900" spans="1:6">
      <c r="A900" t="s">
        <v>147</v>
      </c>
      <c r="B900">
        <v>59</v>
      </c>
      <c r="C900" s="1" t="s">
        <v>113</v>
      </c>
      <c r="D900">
        <v>1538500</v>
      </c>
      <c r="E900" t="str">
        <f>IF($D900="","",VLOOKUP($D900,기준표!$B$4:$C$12,2,TRUE()))</f>
        <v>6단계</v>
      </c>
      <c r="F900" s="1" t="s">
        <v>119</v>
      </c>
    </row>
    <row r="901" spans="1:6">
      <c r="A901" t="s">
        <v>147</v>
      </c>
      <c r="B901">
        <v>60</v>
      </c>
      <c r="C901" s="1" t="s">
        <v>92</v>
      </c>
      <c r="D901">
        <v>1318125</v>
      </c>
      <c r="E901" t="str">
        <f>IF($D901="","",VLOOKUP($D901,기준표!$B$4:$C$12,2,TRUE()))</f>
        <v>6단계</v>
      </c>
      <c r="F901" s="1" t="s">
        <v>119</v>
      </c>
    </row>
    <row r="902" spans="1:6">
      <c r="A902" t="s">
        <v>149</v>
      </c>
      <c r="B902">
        <v>1</v>
      </c>
      <c r="C902" s="1" t="s">
        <v>74</v>
      </c>
      <c r="D902">
        <v>20860650</v>
      </c>
      <c r="E902" t="str">
        <f>IF($D902="","",VLOOKUP($D902,기준표!$B$4:$C$12,2,TRUE()))</f>
        <v>9단계</v>
      </c>
      <c r="F902" s="1" t="s">
        <v>119</v>
      </c>
    </row>
    <row r="903" spans="1:6">
      <c r="A903" t="s">
        <v>149</v>
      </c>
      <c r="B903">
        <v>2</v>
      </c>
      <c r="C903" s="1" t="s">
        <v>118</v>
      </c>
      <c r="D903">
        <v>15967650</v>
      </c>
      <c r="E903" t="str">
        <f>IF($D903="","",VLOOKUP($D903,기준표!$B$4:$C$12,2,TRUE()))</f>
        <v>9단계</v>
      </c>
      <c r="F903" s="1" t="s">
        <v>119</v>
      </c>
    </row>
    <row r="904" spans="1:6">
      <c r="A904" t="s">
        <v>149</v>
      </c>
      <c r="B904">
        <v>3</v>
      </c>
      <c r="C904" s="1" t="s">
        <v>20</v>
      </c>
      <c r="D904">
        <v>11715300</v>
      </c>
      <c r="E904" t="str">
        <f>IF($D904="","",VLOOKUP($D904,기준표!$B$4:$C$12,2,TRUE()))</f>
        <v>9단계</v>
      </c>
      <c r="F904" s="1" t="s">
        <v>119</v>
      </c>
    </row>
    <row r="905" spans="1:6">
      <c r="A905" t="s">
        <v>149</v>
      </c>
      <c r="B905">
        <v>4</v>
      </c>
      <c r="C905" s="1" t="s">
        <v>130</v>
      </c>
      <c r="D905">
        <v>11280300</v>
      </c>
      <c r="E905" t="str">
        <f>IF($D905="","",VLOOKUP($D905,기준표!$B$4:$C$12,2,TRUE()))</f>
        <v>9단계</v>
      </c>
      <c r="F905" s="1" t="s">
        <v>119</v>
      </c>
    </row>
    <row r="906" spans="1:6">
      <c r="A906" t="s">
        <v>149</v>
      </c>
      <c r="B906">
        <v>5</v>
      </c>
      <c r="C906" s="1" t="s">
        <v>123</v>
      </c>
      <c r="D906">
        <v>11203200</v>
      </c>
      <c r="E906" t="str">
        <f>IF($D906="","",VLOOKUP($D906,기준표!$B$4:$C$12,2,TRUE()))</f>
        <v>9단계</v>
      </c>
      <c r="F906" s="1" t="s">
        <v>119</v>
      </c>
    </row>
    <row r="907" spans="1:6">
      <c r="A907" t="s">
        <v>149</v>
      </c>
      <c r="B907">
        <v>6</v>
      </c>
      <c r="C907" s="1" t="s">
        <v>82</v>
      </c>
      <c r="D907">
        <v>10767750</v>
      </c>
      <c r="E907" t="str">
        <f>IF($D907="","",VLOOKUP($D907,기준표!$B$4:$C$12,2,TRUE()))</f>
        <v>9단계</v>
      </c>
      <c r="F907" s="1" t="s">
        <v>119</v>
      </c>
    </row>
    <row r="908" spans="1:6">
      <c r="A908" t="s">
        <v>149</v>
      </c>
      <c r="B908">
        <v>7</v>
      </c>
      <c r="C908" s="1" t="s">
        <v>18</v>
      </c>
      <c r="D908">
        <v>10474200</v>
      </c>
      <c r="E908" t="str">
        <f>IF($D908="","",VLOOKUP($D908,기준표!$B$4:$C$12,2,TRUE()))</f>
        <v>9단계</v>
      </c>
      <c r="F908" s="1" t="s">
        <v>119</v>
      </c>
    </row>
    <row r="909" spans="1:6">
      <c r="A909" t="s">
        <v>149</v>
      </c>
      <c r="B909">
        <v>8</v>
      </c>
      <c r="C909" s="1" t="s">
        <v>77</v>
      </c>
      <c r="D909">
        <v>10381200</v>
      </c>
      <c r="E909" t="str">
        <f>IF($D909="","",VLOOKUP($D909,기준표!$B$4:$C$12,2,TRUE()))</f>
        <v>9단계</v>
      </c>
      <c r="F909" s="1" t="s">
        <v>119</v>
      </c>
    </row>
    <row r="910" spans="1:6">
      <c r="A910" t="s">
        <v>149</v>
      </c>
      <c r="B910">
        <v>9</v>
      </c>
      <c r="C910" s="1" t="s">
        <v>5</v>
      </c>
      <c r="D910">
        <v>9676341</v>
      </c>
      <c r="E910" t="str">
        <f>IF($D910="","",VLOOKUP($D910,기준표!$B$4:$C$12,2,TRUE()))</f>
        <v>9단계</v>
      </c>
      <c r="F910" s="1" t="s">
        <v>119</v>
      </c>
    </row>
    <row r="911" spans="1:6">
      <c r="A911" t="s">
        <v>149</v>
      </c>
      <c r="B911">
        <v>10</v>
      </c>
      <c r="C911" s="1" t="s">
        <v>67</v>
      </c>
      <c r="D911">
        <v>9216750</v>
      </c>
      <c r="E911" t="str">
        <f>IF($D911="","",VLOOKUP($D911,기준표!$B$4:$C$12,2,TRUE()))</f>
        <v>9단계</v>
      </c>
      <c r="F911" s="1" t="s">
        <v>119</v>
      </c>
    </row>
    <row r="912" spans="1:6">
      <c r="A912" t="s">
        <v>149</v>
      </c>
      <c r="B912">
        <v>11</v>
      </c>
      <c r="C912" s="1" t="s">
        <v>104</v>
      </c>
      <c r="D912">
        <v>9100299</v>
      </c>
      <c r="E912" t="str">
        <f>IF($D912="","",VLOOKUP($D912,기준표!$B$4:$C$12,2,TRUE()))</f>
        <v>9단계</v>
      </c>
      <c r="F912" s="1" t="s">
        <v>119</v>
      </c>
    </row>
    <row r="913" spans="1:6">
      <c r="A913" t="s">
        <v>149</v>
      </c>
      <c r="B913">
        <v>12</v>
      </c>
      <c r="C913" s="1" t="s">
        <v>54</v>
      </c>
      <c r="D913">
        <v>9049500</v>
      </c>
      <c r="E913" t="str">
        <f>IF($D913="","",VLOOKUP($D913,기준표!$B$4:$C$12,2,TRUE()))</f>
        <v>9단계</v>
      </c>
      <c r="F913" s="1" t="s">
        <v>119</v>
      </c>
    </row>
    <row r="914" spans="1:6">
      <c r="A914" t="s">
        <v>149</v>
      </c>
      <c r="B914">
        <v>13</v>
      </c>
      <c r="C914" s="1" t="s">
        <v>60</v>
      </c>
      <c r="D914">
        <v>8786100</v>
      </c>
      <c r="E914" t="str">
        <f>IF($D914="","",VLOOKUP($D914,기준표!$B$4:$C$12,2,TRUE()))</f>
        <v>9단계</v>
      </c>
      <c r="F914" s="1" t="s">
        <v>119</v>
      </c>
    </row>
    <row r="915" spans="1:6">
      <c r="A915" t="s">
        <v>149</v>
      </c>
      <c r="B915">
        <v>14</v>
      </c>
      <c r="C915" s="1" t="s">
        <v>51</v>
      </c>
      <c r="D915">
        <v>8670600</v>
      </c>
      <c r="E915" t="str">
        <f>IF($D915="","",VLOOKUP($D915,기준표!$B$4:$C$12,2,TRUE()))</f>
        <v>9단계</v>
      </c>
      <c r="F915" s="1" t="s">
        <v>119</v>
      </c>
    </row>
    <row r="916" spans="1:6">
      <c r="A916" t="s">
        <v>149</v>
      </c>
      <c r="B916">
        <v>15</v>
      </c>
      <c r="C916" s="1" t="s">
        <v>56</v>
      </c>
      <c r="D916">
        <v>8469900</v>
      </c>
      <c r="E916" t="str">
        <f>IF($D916="","",VLOOKUP($D916,기준표!$B$4:$C$12,2,TRUE()))</f>
        <v>9단계</v>
      </c>
      <c r="F916" s="1" t="s">
        <v>119</v>
      </c>
    </row>
    <row r="917" spans="1:6">
      <c r="A917" t="s">
        <v>149</v>
      </c>
      <c r="B917">
        <v>16</v>
      </c>
      <c r="C917" s="1" t="s">
        <v>61</v>
      </c>
      <c r="D917">
        <v>8378850</v>
      </c>
      <c r="E917" t="str">
        <f>IF($D917="","",VLOOKUP($D917,기준표!$B$4:$C$12,2,TRUE()))</f>
        <v>9단계</v>
      </c>
      <c r="F917" s="1" t="s">
        <v>119</v>
      </c>
    </row>
    <row r="918" spans="1:6">
      <c r="A918" t="s">
        <v>149</v>
      </c>
      <c r="B918">
        <v>17</v>
      </c>
      <c r="C918" s="1" t="s">
        <v>69</v>
      </c>
      <c r="D918">
        <v>8234400</v>
      </c>
      <c r="E918" t="str">
        <f>IF($D918="","",VLOOKUP($D918,기준표!$B$4:$C$12,2,TRUE()))</f>
        <v>9단계</v>
      </c>
      <c r="F918" s="1" t="s">
        <v>119</v>
      </c>
    </row>
    <row r="919" spans="1:6">
      <c r="A919" t="s">
        <v>149</v>
      </c>
      <c r="B919">
        <v>18</v>
      </c>
      <c r="C919" s="1" t="s">
        <v>16</v>
      </c>
      <c r="D919">
        <v>8140050</v>
      </c>
      <c r="E919" t="str">
        <f>IF($D919="","",VLOOKUP($D919,기준표!$B$4:$C$12,2,TRUE()))</f>
        <v>9단계</v>
      </c>
      <c r="F919" s="1" t="s">
        <v>119</v>
      </c>
    </row>
    <row r="920" spans="1:6">
      <c r="A920" t="s">
        <v>149</v>
      </c>
      <c r="B920">
        <v>19</v>
      </c>
      <c r="C920" s="1" t="s">
        <v>3</v>
      </c>
      <c r="D920">
        <v>8115450</v>
      </c>
      <c r="E920" t="str">
        <f>IF($D920="","",VLOOKUP($D920,기준표!$B$4:$C$12,2,TRUE()))</f>
        <v>9단계</v>
      </c>
      <c r="F920" s="1" t="s">
        <v>119</v>
      </c>
    </row>
    <row r="921" spans="1:6">
      <c r="A921" t="s">
        <v>149</v>
      </c>
      <c r="B921">
        <v>20</v>
      </c>
      <c r="C921" s="1" t="s">
        <v>127</v>
      </c>
      <c r="D921">
        <v>7808473</v>
      </c>
      <c r="E921" t="str">
        <f>IF($D921="","",VLOOKUP($D921,기준표!$B$4:$C$12,2,TRUE()))</f>
        <v>9단계</v>
      </c>
      <c r="F921" s="1" t="s">
        <v>119</v>
      </c>
    </row>
    <row r="922" spans="1:6">
      <c r="A922" t="s">
        <v>149</v>
      </c>
      <c r="B922">
        <v>21</v>
      </c>
      <c r="C922" s="1" t="s">
        <v>64</v>
      </c>
      <c r="D922">
        <v>7774650</v>
      </c>
      <c r="E922" t="str">
        <f>IF($D922="","",VLOOKUP($D922,기준표!$B$4:$C$12,2,TRUE()))</f>
        <v>9단계</v>
      </c>
      <c r="F922" s="1" t="s">
        <v>119</v>
      </c>
    </row>
    <row r="923" spans="1:6">
      <c r="A923" t="s">
        <v>149</v>
      </c>
      <c r="B923">
        <v>22</v>
      </c>
      <c r="C923" s="1" t="s">
        <v>11</v>
      </c>
      <c r="D923">
        <v>7616700</v>
      </c>
      <c r="E923" t="str">
        <f>IF($D923="","",VLOOKUP($D923,기준표!$B$4:$C$12,2,TRUE()))</f>
        <v>9단계</v>
      </c>
      <c r="F923" s="1" t="s">
        <v>119</v>
      </c>
    </row>
    <row r="924" spans="1:6">
      <c r="A924" t="s">
        <v>149</v>
      </c>
      <c r="B924">
        <v>23</v>
      </c>
      <c r="C924" s="1" t="s">
        <v>71</v>
      </c>
      <c r="D924">
        <v>7563600</v>
      </c>
      <c r="E924" t="str">
        <f>IF($D924="","",VLOOKUP($D924,기준표!$B$4:$C$12,2,TRUE()))</f>
        <v>9단계</v>
      </c>
      <c r="F924" s="1" t="s">
        <v>119</v>
      </c>
    </row>
    <row r="925" spans="1:6">
      <c r="A925" t="s">
        <v>149</v>
      </c>
      <c r="B925">
        <v>24</v>
      </c>
      <c r="C925" s="1" t="s">
        <v>126</v>
      </c>
      <c r="D925">
        <v>7395750</v>
      </c>
      <c r="E925" t="str">
        <f>IF($D925="","",VLOOKUP($D925,기준표!$B$4:$C$12,2,TRUE()))</f>
        <v>9단계</v>
      </c>
      <c r="F925" s="1" t="s">
        <v>119</v>
      </c>
    </row>
    <row r="926" spans="1:6">
      <c r="A926" t="s">
        <v>149</v>
      </c>
      <c r="B926">
        <v>25</v>
      </c>
      <c r="C926" s="1" t="s">
        <v>122</v>
      </c>
      <c r="D926">
        <v>7309650</v>
      </c>
      <c r="E926" t="str">
        <f>IF($D926="","",VLOOKUP($D926,기준표!$B$4:$C$12,2,TRUE()))</f>
        <v>9단계</v>
      </c>
      <c r="F926" s="1" t="s">
        <v>119</v>
      </c>
    </row>
    <row r="927" spans="1:6">
      <c r="A927" t="s">
        <v>149</v>
      </c>
      <c r="B927">
        <v>26</v>
      </c>
      <c r="C927" s="1" t="s">
        <v>75</v>
      </c>
      <c r="D927">
        <v>7230600</v>
      </c>
      <c r="E927" t="str">
        <f>IF($D927="","",VLOOKUP($D927,기준표!$B$4:$C$12,2,TRUE()))</f>
        <v>9단계</v>
      </c>
      <c r="F927" s="1" t="s">
        <v>119</v>
      </c>
    </row>
    <row r="928" spans="1:6">
      <c r="A928" t="s">
        <v>149</v>
      </c>
      <c r="B928">
        <v>27</v>
      </c>
      <c r="C928" s="1" t="s">
        <v>63</v>
      </c>
      <c r="D928">
        <v>7219463</v>
      </c>
      <c r="E928" t="str">
        <f>IF($D928="","",VLOOKUP($D928,기준표!$B$4:$C$12,2,TRUE()))</f>
        <v>9단계</v>
      </c>
      <c r="F928" s="1" t="s">
        <v>119</v>
      </c>
    </row>
    <row r="929" spans="1:6">
      <c r="A929" t="s">
        <v>149</v>
      </c>
      <c r="B929">
        <v>28</v>
      </c>
      <c r="C929" s="1" t="s">
        <v>65</v>
      </c>
      <c r="D929">
        <v>7193004</v>
      </c>
      <c r="E929" t="str">
        <f>IF($D929="","",VLOOKUP($D929,기준표!$B$4:$C$12,2,TRUE()))</f>
        <v>9단계</v>
      </c>
      <c r="F929" s="1" t="s">
        <v>119</v>
      </c>
    </row>
    <row r="930" spans="1:6">
      <c r="A930" t="s">
        <v>149</v>
      </c>
      <c r="B930">
        <v>29</v>
      </c>
      <c r="C930" s="1" t="s">
        <v>85</v>
      </c>
      <c r="D930">
        <v>7190700</v>
      </c>
      <c r="E930" t="str">
        <f>IF($D930="","",VLOOKUP($D930,기준표!$B$4:$C$12,2,TRUE()))</f>
        <v>9단계</v>
      </c>
      <c r="F930" s="1" t="s">
        <v>119</v>
      </c>
    </row>
    <row r="931" spans="1:6">
      <c r="A931" t="s">
        <v>149</v>
      </c>
      <c r="B931">
        <v>30</v>
      </c>
      <c r="C931" s="1" t="s">
        <v>81</v>
      </c>
      <c r="D931">
        <v>6560068</v>
      </c>
      <c r="E931" t="str">
        <f>IF($D931="","",VLOOKUP($D931,기준표!$B$4:$C$12,2,TRUE()))</f>
        <v>8단계</v>
      </c>
      <c r="F931" s="1" t="s">
        <v>119</v>
      </c>
    </row>
    <row r="932" spans="1:6">
      <c r="A932" t="s">
        <v>149</v>
      </c>
      <c r="B932">
        <v>31</v>
      </c>
      <c r="C932" s="1" t="s">
        <v>94</v>
      </c>
      <c r="D932">
        <v>6211049</v>
      </c>
      <c r="E932" t="str">
        <f>IF($D932="","",VLOOKUP($D932,기준표!$B$4:$C$12,2,TRUE()))</f>
        <v>8단계</v>
      </c>
      <c r="F932" s="1" t="s">
        <v>119</v>
      </c>
    </row>
    <row r="933" spans="1:6">
      <c r="A933" t="s">
        <v>149</v>
      </c>
      <c r="B933">
        <v>32</v>
      </c>
      <c r="C933" s="1" t="s">
        <v>58</v>
      </c>
      <c r="D933">
        <v>6106975</v>
      </c>
      <c r="E933" t="str">
        <f>IF($D933="","",VLOOKUP($D933,기준표!$B$4:$C$12,2,TRUE()))</f>
        <v>8단계</v>
      </c>
      <c r="F933" s="1" t="s">
        <v>119</v>
      </c>
    </row>
    <row r="934" spans="1:6">
      <c r="A934" t="s">
        <v>149</v>
      </c>
      <c r="B934">
        <v>33</v>
      </c>
      <c r="C934" s="1" t="s">
        <v>12</v>
      </c>
      <c r="D934">
        <v>5936250</v>
      </c>
      <c r="E934" t="str">
        <f>IF($D934="","",VLOOKUP($D934,기준표!$B$4:$C$12,2,TRUE()))</f>
        <v>8단계</v>
      </c>
      <c r="F934" s="1" t="s">
        <v>119</v>
      </c>
    </row>
    <row r="935" spans="1:6">
      <c r="A935" t="s">
        <v>149</v>
      </c>
      <c r="B935">
        <v>34</v>
      </c>
      <c r="C935" s="1" t="s">
        <v>9</v>
      </c>
      <c r="D935">
        <v>5899200</v>
      </c>
      <c r="E935" t="str">
        <f>IF($D935="","",VLOOKUP($D935,기준표!$B$4:$C$12,2,TRUE()))</f>
        <v>8단계</v>
      </c>
      <c r="F935" s="1" t="s">
        <v>119</v>
      </c>
    </row>
    <row r="936" spans="1:6">
      <c r="A936" t="s">
        <v>149</v>
      </c>
      <c r="B936">
        <v>35</v>
      </c>
      <c r="C936" s="1" t="s">
        <v>84</v>
      </c>
      <c r="D936">
        <v>5559000</v>
      </c>
      <c r="E936" t="str">
        <f>IF($D936="","",VLOOKUP($D936,기준표!$B$4:$C$12,2,TRUE()))</f>
        <v>8단계</v>
      </c>
      <c r="F936" s="1" t="s">
        <v>119</v>
      </c>
    </row>
    <row r="937" spans="1:6">
      <c r="A937" t="s">
        <v>149</v>
      </c>
      <c r="B937">
        <v>36</v>
      </c>
      <c r="C937" s="1" t="s">
        <v>79</v>
      </c>
      <c r="D937">
        <v>5398371</v>
      </c>
      <c r="E937" t="str">
        <f>IF($D937="","",VLOOKUP($D937,기준표!$B$4:$C$12,2,TRUE()))</f>
        <v>8단계</v>
      </c>
      <c r="F937" s="1" t="s">
        <v>119</v>
      </c>
    </row>
    <row r="938" spans="1:6">
      <c r="A938" t="s">
        <v>149</v>
      </c>
      <c r="B938">
        <v>37</v>
      </c>
      <c r="C938" s="1" t="s">
        <v>80</v>
      </c>
      <c r="D938">
        <v>5366288</v>
      </c>
      <c r="E938" t="str">
        <f>IF($D938="","",VLOOKUP($D938,기준표!$B$4:$C$12,2,TRUE()))</f>
        <v>8단계</v>
      </c>
      <c r="F938" s="1" t="s">
        <v>119</v>
      </c>
    </row>
    <row r="939" spans="1:6">
      <c r="A939" t="s">
        <v>149</v>
      </c>
      <c r="B939">
        <v>38</v>
      </c>
      <c r="C939" s="1" t="s">
        <v>136</v>
      </c>
      <c r="D939">
        <v>5065525</v>
      </c>
      <c r="E939" t="str">
        <f>IF($D939="","",VLOOKUP($D939,기준표!$B$4:$C$12,2,TRUE()))</f>
        <v>8단계</v>
      </c>
      <c r="F939" s="1" t="s">
        <v>119</v>
      </c>
    </row>
    <row r="940" spans="1:6">
      <c r="A940" t="s">
        <v>149</v>
      </c>
      <c r="B940">
        <v>39</v>
      </c>
      <c r="C940" s="1" t="s">
        <v>93</v>
      </c>
      <c r="D940">
        <v>4766216</v>
      </c>
      <c r="E940" t="str">
        <f>IF($D940="","",VLOOKUP($D940,기준표!$B$4:$C$12,2,TRUE()))</f>
        <v>8단계</v>
      </c>
      <c r="F940" s="1" t="s">
        <v>119</v>
      </c>
    </row>
    <row r="941" spans="1:6">
      <c r="A941" t="s">
        <v>149</v>
      </c>
      <c r="B941">
        <v>40</v>
      </c>
      <c r="C941" s="1" t="s">
        <v>105</v>
      </c>
      <c r="D941">
        <v>4168380</v>
      </c>
      <c r="E941" t="str">
        <f>IF($D941="","",VLOOKUP($D941,기준표!$B$4:$C$12,2,TRUE()))</f>
        <v>8단계</v>
      </c>
      <c r="F941" s="1" t="s">
        <v>119</v>
      </c>
    </row>
    <row r="942" spans="1:6">
      <c r="A942" t="s">
        <v>149</v>
      </c>
      <c r="B942">
        <v>41</v>
      </c>
      <c r="C942" s="1" t="s">
        <v>100</v>
      </c>
      <c r="D942">
        <v>4123050</v>
      </c>
      <c r="E942" t="str">
        <f>IF($D942="","",VLOOKUP($D942,기준표!$B$4:$C$12,2,TRUE()))</f>
        <v>8단계</v>
      </c>
      <c r="F942" s="1" t="s">
        <v>119</v>
      </c>
    </row>
    <row r="943" spans="1:6">
      <c r="A943" t="s">
        <v>149</v>
      </c>
      <c r="B943">
        <v>42</v>
      </c>
      <c r="C943" s="9">
        <v>1090</v>
      </c>
      <c r="D943">
        <v>4105175</v>
      </c>
      <c r="E943" t="str">
        <f>IF($D943="","",VLOOKUP($D943,기준표!$B$4:$C$12,2,TRUE()))</f>
        <v>8단계</v>
      </c>
      <c r="F943" s="1" t="s">
        <v>119</v>
      </c>
    </row>
    <row r="944" spans="1:6">
      <c r="A944" t="s">
        <v>149</v>
      </c>
      <c r="B944">
        <v>43</v>
      </c>
      <c r="C944" s="1" t="s">
        <v>62</v>
      </c>
      <c r="D944">
        <v>3997964</v>
      </c>
      <c r="E944" t="str">
        <f>IF($D944="","",VLOOKUP($D944,기준표!$B$4:$C$12,2,TRUE()))</f>
        <v>8단계</v>
      </c>
      <c r="F944" s="1" t="s">
        <v>119</v>
      </c>
    </row>
    <row r="945" spans="1:6">
      <c r="A945" t="s">
        <v>149</v>
      </c>
      <c r="B945">
        <v>44</v>
      </c>
      <c r="C945" s="1" t="s">
        <v>88</v>
      </c>
      <c r="D945">
        <v>3911929</v>
      </c>
      <c r="E945" t="str">
        <f>IF($D945="","",VLOOKUP($D945,기준표!$B$4:$C$12,2,TRUE()))</f>
        <v>8단계</v>
      </c>
      <c r="F945" s="1" t="s">
        <v>119</v>
      </c>
    </row>
    <row r="946" spans="1:6">
      <c r="A946" t="s">
        <v>149</v>
      </c>
      <c r="B946">
        <v>45</v>
      </c>
      <c r="C946" s="1" t="s">
        <v>96</v>
      </c>
      <c r="D946">
        <v>3851857</v>
      </c>
      <c r="E946" t="str">
        <f>IF($D946="","",VLOOKUP($D946,기준표!$B$4:$C$12,2,TRUE()))</f>
        <v>8단계</v>
      </c>
      <c r="F946" s="1" t="s">
        <v>119</v>
      </c>
    </row>
    <row r="947" spans="1:6">
      <c r="A947" t="s">
        <v>149</v>
      </c>
      <c r="B947">
        <v>46</v>
      </c>
      <c r="C947" s="1" t="s">
        <v>86</v>
      </c>
      <c r="D947">
        <v>3727480</v>
      </c>
      <c r="E947" t="str">
        <f>IF($D947="","",VLOOKUP($D947,기준표!$B$4:$C$12,2,TRUE()))</f>
        <v>8단계</v>
      </c>
      <c r="F947" s="1" t="s">
        <v>119</v>
      </c>
    </row>
    <row r="948" spans="1:6">
      <c r="A948" t="s">
        <v>149</v>
      </c>
      <c r="B948">
        <v>47</v>
      </c>
      <c r="C948" s="1" t="s">
        <v>78</v>
      </c>
      <c r="D948">
        <v>3672225</v>
      </c>
      <c r="E948" t="str">
        <f>IF($D948="","",VLOOKUP($D948,기준표!$B$4:$C$12,2,TRUE()))</f>
        <v>8단계</v>
      </c>
      <c r="F948" s="1" t="s">
        <v>119</v>
      </c>
    </row>
    <row r="949" spans="1:6">
      <c r="A949" t="s">
        <v>149</v>
      </c>
      <c r="B949">
        <v>48</v>
      </c>
      <c r="C949" s="1" t="s">
        <v>129</v>
      </c>
      <c r="D949">
        <v>3669000</v>
      </c>
      <c r="E949" t="str">
        <f>IF($D949="","",VLOOKUP($D949,기준표!$B$4:$C$12,2,TRUE()))</f>
        <v>8단계</v>
      </c>
      <c r="F949" s="1" t="s">
        <v>119</v>
      </c>
    </row>
    <row r="950" spans="1:6">
      <c r="A950" t="s">
        <v>149</v>
      </c>
      <c r="B950">
        <v>49</v>
      </c>
      <c r="C950" s="1" t="s">
        <v>139</v>
      </c>
      <c r="D950">
        <v>3652491</v>
      </c>
      <c r="E950" t="str">
        <f>IF($D950="","",VLOOKUP($D950,기준표!$B$4:$C$12,2,TRUE()))</f>
        <v>8단계</v>
      </c>
      <c r="F950" s="1" t="s">
        <v>119</v>
      </c>
    </row>
    <row r="951" spans="1:6">
      <c r="A951" t="s">
        <v>149</v>
      </c>
      <c r="B951">
        <v>50</v>
      </c>
      <c r="C951" s="1" t="s">
        <v>92</v>
      </c>
      <c r="D951">
        <v>3317400</v>
      </c>
      <c r="E951" t="str">
        <f>IF($D951="","",VLOOKUP($D951,기준표!$B$4:$C$12,2,TRUE()))</f>
        <v>8단계</v>
      </c>
      <c r="F951" s="1" t="s">
        <v>119</v>
      </c>
    </row>
    <row r="952" spans="1:6">
      <c r="A952" t="s">
        <v>149</v>
      </c>
      <c r="B952">
        <v>51</v>
      </c>
      <c r="C952" s="1" t="s">
        <v>14</v>
      </c>
      <c r="D952">
        <v>3228634</v>
      </c>
      <c r="E952" t="str">
        <f>IF($D952="","",VLOOKUP($D952,기준표!$B$4:$C$12,2,TRUE()))</f>
        <v>8단계</v>
      </c>
      <c r="F952" s="1" t="s">
        <v>119</v>
      </c>
    </row>
    <row r="953" spans="1:6">
      <c r="A953" t="s">
        <v>149</v>
      </c>
      <c r="B953">
        <v>52</v>
      </c>
      <c r="C953" s="1" t="s">
        <v>103</v>
      </c>
      <c r="D953">
        <v>2895075</v>
      </c>
      <c r="E953" t="str">
        <f>IF($D953="","",VLOOKUP($D953,기준표!$B$4:$C$12,2,TRUE()))</f>
        <v>8단계</v>
      </c>
      <c r="F953" s="1" t="s">
        <v>119</v>
      </c>
    </row>
    <row r="954" spans="1:6">
      <c r="A954" t="s">
        <v>149</v>
      </c>
      <c r="B954">
        <v>53</v>
      </c>
      <c r="C954" s="1" t="s">
        <v>135</v>
      </c>
      <c r="D954">
        <v>2571475</v>
      </c>
      <c r="E954" t="str">
        <f>IF($D954="","",VLOOKUP($D954,기준표!$B$4:$C$12,2,TRUE()))</f>
        <v>7단계</v>
      </c>
      <c r="F954" s="1" t="s">
        <v>119</v>
      </c>
    </row>
    <row r="955" spans="1:6">
      <c r="A955" t="s">
        <v>149</v>
      </c>
      <c r="B955">
        <v>54</v>
      </c>
      <c r="C955" s="1" t="s">
        <v>101</v>
      </c>
      <c r="D955">
        <v>1996671</v>
      </c>
      <c r="E955" t="str">
        <f>IF($D955="","",VLOOKUP($D955,기준표!$B$4:$C$12,2,TRUE()))</f>
        <v>6단계</v>
      </c>
      <c r="F955" s="1" t="s">
        <v>119</v>
      </c>
    </row>
    <row r="956" spans="1:6">
      <c r="A956" t="s">
        <v>149</v>
      </c>
      <c r="B956">
        <v>55</v>
      </c>
      <c r="C956" s="1" t="s">
        <v>111</v>
      </c>
      <c r="D956">
        <v>1831127</v>
      </c>
      <c r="E956" t="str">
        <f>IF($D956="","",VLOOKUP($D956,기준표!$B$4:$C$12,2,TRUE()))</f>
        <v>6단계</v>
      </c>
      <c r="F956" s="1" t="s">
        <v>119</v>
      </c>
    </row>
    <row r="957" spans="1:6">
      <c r="A957" t="s">
        <v>149</v>
      </c>
      <c r="B957">
        <v>56</v>
      </c>
      <c r="C957" s="1" t="s">
        <v>99</v>
      </c>
      <c r="D957">
        <v>1437690</v>
      </c>
      <c r="E957" t="str">
        <f>IF($D957="","",VLOOKUP($D957,기준표!$B$4:$C$12,2,TRUE()))</f>
        <v>6단계</v>
      </c>
      <c r="F957" s="1" t="s">
        <v>119</v>
      </c>
    </row>
    <row r="958" spans="1:6">
      <c r="A958" t="s">
        <v>149</v>
      </c>
      <c r="B958">
        <v>57</v>
      </c>
      <c r="C958" s="1" t="s">
        <v>106</v>
      </c>
      <c r="D958">
        <v>1409994</v>
      </c>
      <c r="E958" t="str">
        <f>IF($D958="","",VLOOKUP($D958,기준표!$B$4:$C$12,2,TRUE()))</f>
        <v>6단계</v>
      </c>
      <c r="F958" s="1" t="s">
        <v>119</v>
      </c>
    </row>
    <row r="959" spans="1:6">
      <c r="A959" t="s">
        <v>149</v>
      </c>
      <c r="B959">
        <v>58</v>
      </c>
      <c r="C959" s="1" t="s">
        <v>102</v>
      </c>
      <c r="D959">
        <v>1343344</v>
      </c>
      <c r="E959" t="str">
        <f>IF($D959="","",VLOOKUP($D959,기준표!$B$4:$C$12,2,TRUE()))</f>
        <v>6단계</v>
      </c>
      <c r="F959" s="1" t="s">
        <v>119</v>
      </c>
    </row>
  </sheetData>
  <phoneticPr fontId="8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85"/>
  <sheetViews>
    <sheetView topLeftCell="A150" zoomScaleNormal="100" workbookViewId="0">
      <selection activeCell="C175" sqref="C175"/>
    </sheetView>
  </sheetViews>
  <sheetFormatPr defaultColWidth="8.5" defaultRowHeight="16.5"/>
  <cols>
    <col min="1" max="1" width="50.25" customWidth="1"/>
    <col min="2" max="2" width="5.25" customWidth="1"/>
    <col min="3" max="3" width="33.875" customWidth="1"/>
    <col min="4" max="4" width="9.5" customWidth="1"/>
    <col min="5" max="5" width="6.25" customWidth="1"/>
  </cols>
  <sheetData>
    <row r="1" spans="1:6" ht="16.5" customHeight="1">
      <c r="A1" s="1" t="s">
        <v>150</v>
      </c>
    </row>
    <row r="2" spans="1:6" ht="16.5" customHeight="1">
      <c r="A2" s="1" t="s">
        <v>46</v>
      </c>
      <c r="B2" s="1" t="s">
        <v>47</v>
      </c>
      <c r="C2" s="1" t="s">
        <v>48</v>
      </c>
      <c r="D2" s="1" t="s">
        <v>49</v>
      </c>
      <c r="E2" s="1" t="s">
        <v>25</v>
      </c>
    </row>
    <row r="3" spans="1:6" ht="16.5" customHeight="1">
      <c r="A3" t="s">
        <v>151</v>
      </c>
      <c r="B3" t="s">
        <v>116</v>
      </c>
      <c r="C3" t="s">
        <v>148</v>
      </c>
      <c r="E3" s="3" t="str">
        <f>IF($D3="","",VLOOKUP($D3,기준표!$B$4:$C$12,2,TRUE()))</f>
        <v/>
      </c>
      <c r="F3" s="1" t="s">
        <v>119</v>
      </c>
    </row>
    <row r="4" spans="1:6">
      <c r="A4" t="s">
        <v>151</v>
      </c>
      <c r="B4">
        <v>1</v>
      </c>
      <c r="C4" s="1" t="s">
        <v>152</v>
      </c>
      <c r="D4">
        <v>22891039</v>
      </c>
      <c r="E4" t="str">
        <f>IF($D4="","",VLOOKUP($D4,기준표!$B$4:$C$12,2,TRUE()))</f>
        <v>9단계</v>
      </c>
      <c r="F4" s="1" t="s">
        <v>119</v>
      </c>
    </row>
    <row r="5" spans="1:6">
      <c r="A5" t="s">
        <v>151</v>
      </c>
      <c r="B5">
        <v>2</v>
      </c>
      <c r="C5" s="1" t="s">
        <v>118</v>
      </c>
      <c r="D5">
        <v>22863350</v>
      </c>
      <c r="E5" t="str">
        <f>IF($D5="","",VLOOKUP($D5,기준표!$B$4:$C$12,2,TRUE()))</f>
        <v>9단계</v>
      </c>
      <c r="F5" s="1" t="s">
        <v>119</v>
      </c>
    </row>
    <row r="6" spans="1:6">
      <c r="A6" t="s">
        <v>151</v>
      </c>
      <c r="B6">
        <v>3</v>
      </c>
      <c r="C6" s="1" t="s">
        <v>54</v>
      </c>
      <c r="D6">
        <v>19747750</v>
      </c>
      <c r="E6" t="str">
        <f>IF($D6="","",VLOOKUP($D6,기준표!$B$4:$C$12,2,TRUE()))</f>
        <v>9단계</v>
      </c>
      <c r="F6" s="1" t="s">
        <v>119</v>
      </c>
    </row>
    <row r="7" spans="1:6">
      <c r="A7" t="s">
        <v>151</v>
      </c>
      <c r="B7">
        <v>4</v>
      </c>
      <c r="C7" s="1" t="s">
        <v>153</v>
      </c>
      <c r="D7">
        <v>19108535</v>
      </c>
      <c r="E7" t="str">
        <f>IF($D7="","",VLOOKUP($D7,기준표!$B$4:$C$12,2,TRUE()))</f>
        <v>9단계</v>
      </c>
      <c r="F7" s="1" t="s">
        <v>119</v>
      </c>
    </row>
    <row r="8" spans="1:6">
      <c r="A8" t="s">
        <v>151</v>
      </c>
      <c r="B8">
        <v>5</v>
      </c>
      <c r="C8" s="1" t="s">
        <v>63</v>
      </c>
      <c r="D8">
        <v>18925047</v>
      </c>
      <c r="E8" t="str">
        <f>IF($D8="","",VLOOKUP($D8,기준표!$B$4:$C$12,2,TRUE()))</f>
        <v>9단계</v>
      </c>
      <c r="F8" s="1" t="s">
        <v>119</v>
      </c>
    </row>
    <row r="9" spans="1:6">
      <c r="A9" t="s">
        <v>151</v>
      </c>
      <c r="B9">
        <v>6</v>
      </c>
      <c r="C9" s="1" t="s">
        <v>154</v>
      </c>
      <c r="D9">
        <v>18773600</v>
      </c>
      <c r="E9" t="str">
        <f>IF($D9="","",VLOOKUP($D9,기준표!$B$4:$C$12,2,TRUE()))</f>
        <v>9단계</v>
      </c>
      <c r="F9" s="1" t="s">
        <v>119</v>
      </c>
    </row>
    <row r="10" spans="1:6">
      <c r="A10" t="s">
        <v>151</v>
      </c>
      <c r="B10">
        <v>7</v>
      </c>
      <c r="C10" s="1" t="s">
        <v>69</v>
      </c>
      <c r="D10">
        <v>17819150</v>
      </c>
      <c r="E10" t="str">
        <f>IF($D10="","",VLOOKUP($D10,기준표!$B$4:$C$12,2,TRUE()))</f>
        <v>9단계</v>
      </c>
      <c r="F10" s="1" t="s">
        <v>119</v>
      </c>
    </row>
    <row r="11" spans="1:6">
      <c r="A11" t="s">
        <v>151</v>
      </c>
      <c r="B11">
        <v>8</v>
      </c>
      <c r="C11" s="1" t="s">
        <v>51</v>
      </c>
      <c r="D11">
        <v>16620150</v>
      </c>
      <c r="E11" t="str">
        <f>IF($D11="","",VLOOKUP($D11,기준표!$B$4:$C$12,2,TRUE()))</f>
        <v>9단계</v>
      </c>
      <c r="F11" s="1" t="s">
        <v>119</v>
      </c>
    </row>
    <row r="12" spans="1:6">
      <c r="A12" t="s">
        <v>151</v>
      </c>
      <c r="B12">
        <v>9</v>
      </c>
      <c r="C12" s="1" t="s">
        <v>130</v>
      </c>
      <c r="D12">
        <v>14316000</v>
      </c>
      <c r="E12" t="str">
        <f>IF($D12="","",VLOOKUP($D12,기준표!$B$4:$C$12,2,TRUE()))</f>
        <v>9단계</v>
      </c>
      <c r="F12" s="1" t="s">
        <v>119</v>
      </c>
    </row>
    <row r="13" spans="1:6">
      <c r="A13" t="s">
        <v>151</v>
      </c>
      <c r="B13">
        <v>10</v>
      </c>
      <c r="C13" s="1" t="s">
        <v>56</v>
      </c>
      <c r="D13">
        <v>13163400</v>
      </c>
      <c r="E13" t="str">
        <f>IF($D13="","",VLOOKUP($D13,기준표!$B$4:$C$12,2,TRUE()))</f>
        <v>9단계</v>
      </c>
      <c r="F13" s="1" t="s">
        <v>119</v>
      </c>
    </row>
    <row r="14" spans="1:6">
      <c r="A14" t="s">
        <v>151</v>
      </c>
      <c r="B14">
        <v>11</v>
      </c>
      <c r="C14" s="1" t="s">
        <v>155</v>
      </c>
      <c r="D14">
        <v>12238181</v>
      </c>
      <c r="E14" t="str">
        <f>IF($D14="","",VLOOKUP($D14,기준표!$B$4:$C$12,2,TRUE()))</f>
        <v>9단계</v>
      </c>
      <c r="F14" s="1" t="s">
        <v>119</v>
      </c>
    </row>
    <row r="15" spans="1:6">
      <c r="A15" t="s">
        <v>151</v>
      </c>
      <c r="B15">
        <v>12</v>
      </c>
      <c r="C15" s="1" t="s">
        <v>16</v>
      </c>
      <c r="D15">
        <v>11945550</v>
      </c>
      <c r="E15" t="str">
        <f>IF($D15="","",VLOOKUP($D15,기준표!$B$4:$C$12,2,TRUE()))</f>
        <v>9단계</v>
      </c>
      <c r="F15" s="1" t="s">
        <v>119</v>
      </c>
    </row>
    <row r="16" spans="1:6">
      <c r="A16" t="s">
        <v>151</v>
      </c>
      <c r="B16">
        <v>13</v>
      </c>
      <c r="C16" s="1" t="s">
        <v>61</v>
      </c>
      <c r="D16">
        <v>11889250</v>
      </c>
      <c r="E16" t="str">
        <f>IF($D16="","",VLOOKUP($D16,기준표!$B$4:$C$12,2,TRUE()))</f>
        <v>9단계</v>
      </c>
      <c r="F16" s="1" t="s">
        <v>119</v>
      </c>
    </row>
    <row r="17" spans="1:6">
      <c r="A17" t="s">
        <v>151</v>
      </c>
      <c r="B17">
        <v>14</v>
      </c>
      <c r="C17" s="1" t="s">
        <v>82</v>
      </c>
      <c r="D17">
        <v>11631700</v>
      </c>
      <c r="E17" t="str">
        <f>IF($D17="","",VLOOKUP($D17,기준표!$B$4:$C$12,2,TRUE()))</f>
        <v>9단계</v>
      </c>
      <c r="F17" s="1" t="s">
        <v>119</v>
      </c>
    </row>
    <row r="18" spans="1:6">
      <c r="A18" t="s">
        <v>151</v>
      </c>
      <c r="B18">
        <v>15</v>
      </c>
      <c r="C18" s="1" t="s">
        <v>120</v>
      </c>
      <c r="D18">
        <v>11509450</v>
      </c>
      <c r="E18" t="str">
        <f>IF($D18="","",VLOOKUP($D18,기준표!$B$4:$C$12,2,TRUE()))</f>
        <v>9단계</v>
      </c>
      <c r="F18" s="1" t="s">
        <v>119</v>
      </c>
    </row>
    <row r="19" spans="1:6">
      <c r="A19" t="s">
        <v>151</v>
      </c>
      <c r="B19">
        <v>16</v>
      </c>
      <c r="C19" s="1" t="s">
        <v>123</v>
      </c>
      <c r="D19">
        <v>11102200</v>
      </c>
      <c r="E19" t="str">
        <f>IF($D19="","",VLOOKUP($D19,기준표!$B$4:$C$12,2,TRUE()))</f>
        <v>9단계</v>
      </c>
      <c r="F19" s="1" t="s">
        <v>119</v>
      </c>
    </row>
    <row r="20" spans="1:6">
      <c r="A20" t="s">
        <v>151</v>
      </c>
      <c r="B20">
        <v>17</v>
      </c>
      <c r="C20" s="1" t="s">
        <v>75</v>
      </c>
      <c r="D20">
        <v>11021150</v>
      </c>
      <c r="E20" t="str">
        <f>IF($D20="","",VLOOKUP($D20,기준표!$B$4:$C$12,2,TRUE()))</f>
        <v>9단계</v>
      </c>
      <c r="F20" s="1" t="s">
        <v>119</v>
      </c>
    </row>
    <row r="21" spans="1:6">
      <c r="A21" t="s">
        <v>151</v>
      </c>
      <c r="B21">
        <v>18</v>
      </c>
      <c r="C21" s="1" t="s">
        <v>156</v>
      </c>
      <c r="D21">
        <v>10978640</v>
      </c>
      <c r="E21" t="str">
        <f>IF($D21="","",VLOOKUP($D21,기준표!$B$4:$C$12,2,TRUE()))</f>
        <v>9단계</v>
      </c>
      <c r="F21" s="1" t="s">
        <v>119</v>
      </c>
    </row>
    <row r="22" spans="1:6">
      <c r="A22" t="s">
        <v>151</v>
      </c>
      <c r="B22">
        <v>19</v>
      </c>
      <c r="C22" s="1" t="s">
        <v>157</v>
      </c>
      <c r="D22">
        <v>10674948</v>
      </c>
      <c r="E22" t="str">
        <f>IF($D22="","",VLOOKUP($D22,기준표!$B$4:$C$12,2,TRUE()))</f>
        <v>9단계</v>
      </c>
      <c r="F22" s="1" t="s">
        <v>119</v>
      </c>
    </row>
    <row r="23" spans="1:6">
      <c r="A23" t="s">
        <v>151</v>
      </c>
      <c r="B23">
        <v>20</v>
      </c>
      <c r="C23" s="1" t="s">
        <v>126</v>
      </c>
      <c r="D23">
        <v>10432400</v>
      </c>
      <c r="E23" t="str">
        <f>IF($D23="","",VLOOKUP($D23,기준표!$B$4:$C$12,2,TRUE()))</f>
        <v>9단계</v>
      </c>
      <c r="F23" s="1" t="s">
        <v>119</v>
      </c>
    </row>
    <row r="24" spans="1:6">
      <c r="A24" t="s">
        <v>151</v>
      </c>
      <c r="B24">
        <v>21</v>
      </c>
      <c r="C24" s="1" t="s">
        <v>64</v>
      </c>
      <c r="D24">
        <v>9995000</v>
      </c>
      <c r="E24" t="str">
        <f>IF($D24="","",VLOOKUP($D24,기준표!$B$4:$C$12,2,TRUE()))</f>
        <v>9단계</v>
      </c>
      <c r="F24" s="1" t="s">
        <v>119</v>
      </c>
    </row>
    <row r="25" spans="1:6">
      <c r="A25" t="s">
        <v>151</v>
      </c>
      <c r="B25">
        <v>22</v>
      </c>
      <c r="C25" s="1" t="s">
        <v>5</v>
      </c>
      <c r="D25">
        <v>9681060</v>
      </c>
      <c r="E25" t="str">
        <f>IF($D25="","",VLOOKUP($D25,기준표!$B$4:$C$12,2,TRUE()))</f>
        <v>9단계</v>
      </c>
      <c r="F25" s="1" t="s">
        <v>119</v>
      </c>
    </row>
    <row r="26" spans="1:6">
      <c r="A26" t="s">
        <v>151</v>
      </c>
      <c r="B26">
        <v>23</v>
      </c>
      <c r="C26" s="1" t="s">
        <v>122</v>
      </c>
      <c r="D26">
        <v>9655450</v>
      </c>
      <c r="E26" t="str">
        <f>IF($D26="","",VLOOKUP($D26,기준표!$B$4:$C$12,2,TRUE()))</f>
        <v>9단계</v>
      </c>
      <c r="F26" s="1" t="s">
        <v>119</v>
      </c>
    </row>
    <row r="27" spans="1:6">
      <c r="A27" t="s">
        <v>151</v>
      </c>
      <c r="B27">
        <v>24</v>
      </c>
      <c r="C27" s="1" t="s">
        <v>158</v>
      </c>
      <c r="D27">
        <v>9567703</v>
      </c>
      <c r="E27" t="str">
        <f>IF($D27="","",VLOOKUP($D27,기준표!$B$4:$C$12,2,TRUE()))</f>
        <v>9단계</v>
      </c>
      <c r="F27" s="1" t="s">
        <v>119</v>
      </c>
    </row>
    <row r="28" spans="1:6">
      <c r="A28" t="s">
        <v>151</v>
      </c>
      <c r="B28">
        <v>25</v>
      </c>
      <c r="C28" s="1" t="s">
        <v>9</v>
      </c>
      <c r="D28">
        <v>9485550</v>
      </c>
      <c r="E28" t="str">
        <f>IF($D28="","",VLOOKUP($D28,기준표!$B$4:$C$12,2,TRUE()))</f>
        <v>9단계</v>
      </c>
      <c r="F28" s="1" t="s">
        <v>119</v>
      </c>
    </row>
    <row r="29" spans="1:6">
      <c r="A29" t="s">
        <v>151</v>
      </c>
      <c r="B29">
        <v>26</v>
      </c>
      <c r="C29" s="1" t="s">
        <v>71</v>
      </c>
      <c r="D29">
        <v>9244350</v>
      </c>
      <c r="E29" t="str">
        <f>IF($D29="","",VLOOKUP($D29,기준표!$B$4:$C$12,2,TRUE()))</f>
        <v>9단계</v>
      </c>
      <c r="F29" s="1" t="s">
        <v>119</v>
      </c>
    </row>
    <row r="30" spans="1:6">
      <c r="A30" t="s">
        <v>151</v>
      </c>
      <c r="B30">
        <v>27</v>
      </c>
      <c r="C30" s="1" t="s">
        <v>67</v>
      </c>
      <c r="D30">
        <v>8959350</v>
      </c>
      <c r="E30" t="str">
        <f>IF($D30="","",VLOOKUP($D30,기준표!$B$4:$C$12,2,TRUE()))</f>
        <v>9단계</v>
      </c>
      <c r="F30" s="1" t="s">
        <v>119</v>
      </c>
    </row>
    <row r="31" spans="1:6">
      <c r="A31" t="s">
        <v>151</v>
      </c>
      <c r="B31">
        <v>28</v>
      </c>
      <c r="C31" s="1" t="s">
        <v>74</v>
      </c>
      <c r="D31">
        <v>8783400</v>
      </c>
      <c r="E31" t="str">
        <f>IF($D31="","",VLOOKUP($D31,기준표!$B$4:$C$12,2,TRUE()))</f>
        <v>9단계</v>
      </c>
      <c r="F31" s="1" t="s">
        <v>119</v>
      </c>
    </row>
    <row r="32" spans="1:6">
      <c r="A32" t="s">
        <v>151</v>
      </c>
      <c r="B32">
        <v>29</v>
      </c>
      <c r="C32" s="1" t="s">
        <v>18</v>
      </c>
      <c r="D32">
        <v>8568850</v>
      </c>
      <c r="E32" t="str">
        <f>IF($D32="","",VLOOKUP($D32,기준표!$B$4:$C$12,2,TRUE()))</f>
        <v>9단계</v>
      </c>
      <c r="F32" s="1" t="s">
        <v>119</v>
      </c>
    </row>
    <row r="33" spans="1:6">
      <c r="A33" t="s">
        <v>151</v>
      </c>
      <c r="B33">
        <v>30</v>
      </c>
      <c r="C33" s="1" t="s">
        <v>85</v>
      </c>
      <c r="D33">
        <v>8566850</v>
      </c>
      <c r="E33" t="str">
        <f>IF($D33="","",VLOOKUP($D33,기준표!$B$4:$C$12,2,TRUE()))</f>
        <v>9단계</v>
      </c>
      <c r="F33" s="1" t="s">
        <v>119</v>
      </c>
    </row>
    <row r="34" spans="1:6">
      <c r="A34" t="s">
        <v>151</v>
      </c>
      <c r="B34">
        <v>31</v>
      </c>
      <c r="C34" s="1" t="s">
        <v>11</v>
      </c>
      <c r="D34">
        <v>8554800</v>
      </c>
      <c r="E34" t="str">
        <f>IF($D34="","",VLOOKUP($D34,기준표!$B$4:$C$12,2,TRUE()))</f>
        <v>9단계</v>
      </c>
      <c r="F34" s="1" t="s">
        <v>119</v>
      </c>
    </row>
    <row r="35" spans="1:6">
      <c r="A35" t="s">
        <v>151</v>
      </c>
      <c r="B35">
        <v>32</v>
      </c>
      <c r="C35" s="1" t="s">
        <v>159</v>
      </c>
      <c r="D35">
        <v>8542383</v>
      </c>
      <c r="E35" t="str">
        <f>IF($D35="","",VLOOKUP($D35,기준표!$B$4:$C$12,2,TRUE()))</f>
        <v>9단계</v>
      </c>
      <c r="F35" s="1" t="s">
        <v>119</v>
      </c>
    </row>
    <row r="36" spans="1:6">
      <c r="A36" t="s">
        <v>151</v>
      </c>
      <c r="B36">
        <v>33</v>
      </c>
      <c r="C36" s="1" t="s">
        <v>160</v>
      </c>
      <c r="D36">
        <v>8485754</v>
      </c>
      <c r="E36" t="str">
        <f>IF($D36="","",VLOOKUP($D36,기준표!$B$4:$C$12,2,TRUE()))</f>
        <v>9단계</v>
      </c>
      <c r="F36" s="1" t="s">
        <v>119</v>
      </c>
    </row>
    <row r="37" spans="1:6">
      <c r="A37" t="s">
        <v>151</v>
      </c>
      <c r="B37">
        <v>34</v>
      </c>
      <c r="C37" s="1" t="s">
        <v>81</v>
      </c>
      <c r="D37">
        <v>8329562</v>
      </c>
      <c r="E37" t="str">
        <f>IF($D37="","",VLOOKUP($D37,기준표!$B$4:$C$12,2,TRUE()))</f>
        <v>9단계</v>
      </c>
      <c r="F37" s="1" t="s">
        <v>119</v>
      </c>
    </row>
    <row r="38" spans="1:6">
      <c r="A38" t="s">
        <v>151</v>
      </c>
      <c r="B38">
        <v>35</v>
      </c>
      <c r="C38" s="1" t="s">
        <v>104</v>
      </c>
      <c r="D38">
        <v>8324769</v>
      </c>
      <c r="E38" t="str">
        <f>IF($D38="","",VLOOKUP($D38,기준표!$B$4:$C$12,2,TRUE()))</f>
        <v>9단계</v>
      </c>
      <c r="F38" s="1" t="s">
        <v>119</v>
      </c>
    </row>
    <row r="39" spans="1:6">
      <c r="A39" t="s">
        <v>151</v>
      </c>
      <c r="B39">
        <v>36</v>
      </c>
      <c r="C39" s="1" t="s">
        <v>73</v>
      </c>
      <c r="D39">
        <v>8317500</v>
      </c>
      <c r="E39" t="str">
        <f>IF($D39="","",VLOOKUP($D39,기준표!$B$4:$C$12,2,TRUE()))</f>
        <v>9단계</v>
      </c>
      <c r="F39" s="1" t="s">
        <v>119</v>
      </c>
    </row>
    <row r="40" spans="1:6">
      <c r="A40" t="s">
        <v>151</v>
      </c>
      <c r="B40">
        <v>37</v>
      </c>
      <c r="C40" s="1" t="s">
        <v>161</v>
      </c>
      <c r="D40">
        <v>8224996</v>
      </c>
      <c r="E40" t="str">
        <f>IF($D40="","",VLOOKUP($D40,기준표!$B$4:$C$12,2,TRUE()))</f>
        <v>9단계</v>
      </c>
      <c r="F40" s="1" t="s">
        <v>119</v>
      </c>
    </row>
    <row r="41" spans="1:6">
      <c r="A41" t="s">
        <v>151</v>
      </c>
      <c r="B41">
        <v>38</v>
      </c>
      <c r="C41" s="1" t="s">
        <v>60</v>
      </c>
      <c r="D41">
        <v>8172500</v>
      </c>
      <c r="E41" t="str">
        <f>IF($D41="","",VLOOKUP($D41,기준표!$B$4:$C$12,2,TRUE()))</f>
        <v>9단계</v>
      </c>
      <c r="F41" s="1" t="s">
        <v>119</v>
      </c>
    </row>
    <row r="42" spans="1:6">
      <c r="A42" t="s">
        <v>151</v>
      </c>
      <c r="B42">
        <v>39</v>
      </c>
      <c r="C42" s="1" t="s">
        <v>162</v>
      </c>
      <c r="D42">
        <v>8158855</v>
      </c>
      <c r="E42" t="str">
        <f>IF($D42="","",VLOOKUP($D42,기준표!$B$4:$C$12,2,TRUE()))</f>
        <v>9단계</v>
      </c>
      <c r="F42" s="1" t="s">
        <v>119</v>
      </c>
    </row>
    <row r="43" spans="1:6">
      <c r="A43" t="s">
        <v>151</v>
      </c>
      <c r="B43">
        <v>40</v>
      </c>
      <c r="C43" s="1" t="s">
        <v>93</v>
      </c>
      <c r="D43">
        <v>8088046</v>
      </c>
      <c r="E43" t="str">
        <f>IF($D43="","",VLOOKUP($D43,기준표!$B$4:$C$12,2,TRUE()))</f>
        <v>9단계</v>
      </c>
      <c r="F43" s="1" t="s">
        <v>119</v>
      </c>
    </row>
    <row r="44" spans="1:6">
      <c r="A44" t="s">
        <v>151</v>
      </c>
      <c r="B44">
        <v>41</v>
      </c>
      <c r="C44" s="1" t="s">
        <v>84</v>
      </c>
      <c r="D44">
        <v>8021750</v>
      </c>
      <c r="E44" t="str">
        <f>IF($D44="","",VLOOKUP($D44,기준표!$B$4:$C$12,2,TRUE()))</f>
        <v>9단계</v>
      </c>
      <c r="F44" s="1" t="s">
        <v>119</v>
      </c>
    </row>
    <row r="45" spans="1:6">
      <c r="A45" t="s">
        <v>151</v>
      </c>
      <c r="B45">
        <v>42</v>
      </c>
      <c r="C45" s="1" t="s">
        <v>79</v>
      </c>
      <c r="D45">
        <v>8007197</v>
      </c>
      <c r="E45" t="str">
        <f>IF($D45="","",VLOOKUP($D45,기준표!$B$4:$C$12,2,TRUE()))</f>
        <v>9단계</v>
      </c>
      <c r="F45" s="1" t="s">
        <v>119</v>
      </c>
    </row>
    <row r="46" spans="1:6">
      <c r="A46" t="s">
        <v>151</v>
      </c>
      <c r="B46">
        <v>43</v>
      </c>
      <c r="C46" s="1" t="s">
        <v>3</v>
      </c>
      <c r="D46">
        <v>7815250</v>
      </c>
      <c r="E46" t="str">
        <f>IF($D46="","",VLOOKUP($D46,기준표!$B$4:$C$12,2,TRUE()))</f>
        <v>9단계</v>
      </c>
      <c r="F46" s="1" t="s">
        <v>119</v>
      </c>
    </row>
    <row r="47" spans="1:6">
      <c r="A47" t="s">
        <v>151</v>
      </c>
      <c r="B47">
        <v>44</v>
      </c>
      <c r="C47" s="1" t="s">
        <v>22</v>
      </c>
      <c r="D47">
        <v>7606740</v>
      </c>
      <c r="E47" t="str">
        <f>IF($D47="","",VLOOKUP($D47,기준표!$B$4:$C$12,2,TRUE()))</f>
        <v>9단계</v>
      </c>
      <c r="F47" s="1" t="s">
        <v>119</v>
      </c>
    </row>
    <row r="48" spans="1:6">
      <c r="A48" t="s">
        <v>151</v>
      </c>
      <c r="B48">
        <v>45</v>
      </c>
      <c r="C48" s="1" t="s">
        <v>129</v>
      </c>
      <c r="D48">
        <v>7586200</v>
      </c>
      <c r="E48" t="str">
        <f>IF($D48="","",VLOOKUP($D48,기준표!$B$4:$C$12,2,TRUE()))</f>
        <v>9단계</v>
      </c>
      <c r="F48" s="1" t="s">
        <v>119</v>
      </c>
    </row>
    <row r="49" spans="1:6">
      <c r="A49" t="s">
        <v>151</v>
      </c>
      <c r="B49">
        <v>46</v>
      </c>
      <c r="C49" s="1" t="s">
        <v>62</v>
      </c>
      <c r="D49">
        <v>7574428</v>
      </c>
      <c r="E49" t="str">
        <f>IF($D49="","",VLOOKUP($D49,기준표!$B$4:$C$12,2,TRUE()))</f>
        <v>9단계</v>
      </c>
      <c r="F49" s="1" t="s">
        <v>119</v>
      </c>
    </row>
    <row r="50" spans="1:6">
      <c r="A50" t="s">
        <v>151</v>
      </c>
      <c r="B50">
        <v>47</v>
      </c>
      <c r="C50" s="1" t="s">
        <v>65</v>
      </c>
      <c r="D50">
        <v>7561087</v>
      </c>
      <c r="E50" t="str">
        <f>IF($D50="","",VLOOKUP($D50,기준표!$B$4:$C$12,2,TRUE()))</f>
        <v>9단계</v>
      </c>
      <c r="F50" s="1" t="s">
        <v>119</v>
      </c>
    </row>
    <row r="51" spans="1:6">
      <c r="A51" t="s">
        <v>151</v>
      </c>
      <c r="B51">
        <v>48</v>
      </c>
      <c r="C51" s="1" t="s">
        <v>12</v>
      </c>
      <c r="D51">
        <v>7516880</v>
      </c>
      <c r="E51" t="str">
        <f>IF($D51="","",VLOOKUP($D51,기준표!$B$4:$C$12,2,TRUE()))</f>
        <v>9단계</v>
      </c>
      <c r="F51" s="1" t="s">
        <v>119</v>
      </c>
    </row>
    <row r="52" spans="1:6">
      <c r="A52" t="s">
        <v>151</v>
      </c>
      <c r="B52">
        <v>49</v>
      </c>
      <c r="C52" s="1" t="s">
        <v>163</v>
      </c>
      <c r="D52">
        <v>7486016</v>
      </c>
      <c r="E52" t="str">
        <f>IF($D52="","",VLOOKUP($D52,기준표!$B$4:$C$12,2,TRUE()))</f>
        <v>9단계</v>
      </c>
      <c r="F52" s="1" t="s">
        <v>119</v>
      </c>
    </row>
    <row r="53" spans="1:6">
      <c r="A53" t="s">
        <v>151</v>
      </c>
      <c r="B53">
        <v>50</v>
      </c>
      <c r="C53" s="1" t="s">
        <v>164</v>
      </c>
      <c r="D53">
        <v>7431007</v>
      </c>
      <c r="E53" t="str">
        <f>IF($D53="","",VLOOKUP($D53,기준표!$B$4:$C$12,2,TRUE()))</f>
        <v>9단계</v>
      </c>
      <c r="F53" s="1" t="s">
        <v>119</v>
      </c>
    </row>
    <row r="54" spans="1:6">
      <c r="A54" t="s">
        <v>151</v>
      </c>
      <c r="B54">
        <v>51</v>
      </c>
      <c r="C54" s="1" t="s">
        <v>20</v>
      </c>
      <c r="D54">
        <v>7363000</v>
      </c>
      <c r="E54" t="str">
        <f>IF($D54="","",VLOOKUP($D54,기준표!$B$4:$C$12,2,TRUE()))</f>
        <v>9단계</v>
      </c>
      <c r="F54" s="1" t="s">
        <v>119</v>
      </c>
    </row>
    <row r="55" spans="1:6">
      <c r="A55" t="s">
        <v>151</v>
      </c>
      <c r="B55">
        <v>52</v>
      </c>
      <c r="C55" s="1" t="s">
        <v>127</v>
      </c>
      <c r="D55">
        <v>7266393</v>
      </c>
      <c r="E55" t="str">
        <f>IF($D55="","",VLOOKUP($D55,기준표!$B$4:$C$12,2,TRUE()))</f>
        <v>9단계</v>
      </c>
      <c r="F55" s="1" t="s">
        <v>119</v>
      </c>
    </row>
    <row r="56" spans="1:6">
      <c r="A56" t="s">
        <v>151</v>
      </c>
      <c r="B56">
        <v>53</v>
      </c>
      <c r="C56" s="1" t="s">
        <v>165</v>
      </c>
      <c r="D56">
        <v>6830922</v>
      </c>
      <c r="E56" t="str">
        <f>IF($D56="","",VLOOKUP($D56,기준표!$B$4:$C$12,2,TRUE()))</f>
        <v>8단계</v>
      </c>
      <c r="F56" s="1" t="s">
        <v>119</v>
      </c>
    </row>
    <row r="57" spans="1:6">
      <c r="A57" t="s">
        <v>151</v>
      </c>
      <c r="B57">
        <v>54</v>
      </c>
      <c r="C57" s="1" t="s">
        <v>77</v>
      </c>
      <c r="D57">
        <v>6359150</v>
      </c>
      <c r="E57" t="str">
        <f>IF($D57="","",VLOOKUP($D57,기준표!$B$4:$C$12,2,TRUE()))</f>
        <v>8단계</v>
      </c>
      <c r="F57" s="1" t="s">
        <v>119</v>
      </c>
    </row>
    <row r="58" spans="1:6">
      <c r="A58" t="s">
        <v>151</v>
      </c>
      <c r="B58">
        <v>55</v>
      </c>
      <c r="C58" s="1" t="s">
        <v>166</v>
      </c>
      <c r="D58">
        <v>5969613</v>
      </c>
      <c r="E58" t="str">
        <f>IF($D58="","",VLOOKUP($D58,기준표!$B$4:$C$12,2,TRUE()))</f>
        <v>8단계</v>
      </c>
      <c r="F58" s="1" t="s">
        <v>119</v>
      </c>
    </row>
    <row r="59" spans="1:6">
      <c r="A59" t="s">
        <v>151</v>
      </c>
      <c r="B59">
        <v>56</v>
      </c>
      <c r="C59" s="1" t="s">
        <v>88</v>
      </c>
      <c r="D59">
        <v>5744139</v>
      </c>
      <c r="E59" t="str">
        <f>IF($D59="","",VLOOKUP($D59,기준표!$B$4:$C$12,2,TRUE()))</f>
        <v>8단계</v>
      </c>
      <c r="F59" s="1" t="s">
        <v>119</v>
      </c>
    </row>
    <row r="60" spans="1:6">
      <c r="A60" t="s">
        <v>151</v>
      </c>
      <c r="B60">
        <v>57</v>
      </c>
      <c r="C60" s="1" t="s">
        <v>167</v>
      </c>
      <c r="D60">
        <v>5738212</v>
      </c>
      <c r="E60" t="str">
        <f>IF($D60="","",VLOOKUP($D60,기준표!$B$4:$C$12,2,TRUE()))</f>
        <v>8단계</v>
      </c>
      <c r="F60" s="1" t="s">
        <v>119</v>
      </c>
    </row>
    <row r="61" spans="1:6">
      <c r="A61" t="s">
        <v>151</v>
      </c>
      <c r="B61">
        <v>58</v>
      </c>
      <c r="C61" s="1" t="s">
        <v>58</v>
      </c>
      <c r="D61">
        <v>5634760</v>
      </c>
      <c r="E61" t="str">
        <f>IF($D61="","",VLOOKUP($D61,기준표!$B$4:$C$12,2,TRUE()))</f>
        <v>8단계</v>
      </c>
      <c r="F61" s="1" t="s">
        <v>119</v>
      </c>
    </row>
    <row r="62" spans="1:6">
      <c r="A62" t="s">
        <v>151</v>
      </c>
      <c r="B62">
        <v>59</v>
      </c>
      <c r="C62" s="1" t="s">
        <v>168</v>
      </c>
      <c r="D62">
        <v>5611825</v>
      </c>
      <c r="E62" t="str">
        <f>IF($D62="","",VLOOKUP($D62,기준표!$B$4:$C$12,2,TRUE()))</f>
        <v>8단계</v>
      </c>
      <c r="F62" s="1" t="s">
        <v>119</v>
      </c>
    </row>
    <row r="63" spans="1:6">
      <c r="A63" t="s">
        <v>151</v>
      </c>
      <c r="B63">
        <v>60</v>
      </c>
      <c r="C63" s="1" t="s">
        <v>80</v>
      </c>
      <c r="D63">
        <v>5372222</v>
      </c>
      <c r="E63" t="str">
        <f>IF($D63="","",VLOOKUP($D63,기준표!$B$4:$C$12,2,TRUE()))</f>
        <v>8단계</v>
      </c>
      <c r="F63" s="1" t="s">
        <v>119</v>
      </c>
    </row>
    <row r="64" spans="1:6">
      <c r="A64" t="s">
        <v>151</v>
      </c>
      <c r="B64">
        <v>61</v>
      </c>
      <c r="C64" s="1" t="s">
        <v>169</v>
      </c>
      <c r="D64">
        <v>5239536</v>
      </c>
      <c r="E64" t="str">
        <f>IF($D64="","",VLOOKUP($D64,기준표!$B$4:$C$12,2,TRUE()))</f>
        <v>8단계</v>
      </c>
      <c r="F64" s="1" t="s">
        <v>119</v>
      </c>
    </row>
    <row r="65" spans="1:6">
      <c r="A65" t="s">
        <v>151</v>
      </c>
      <c r="B65">
        <v>62</v>
      </c>
      <c r="C65" s="1" t="s">
        <v>86</v>
      </c>
      <c r="D65">
        <v>5166652</v>
      </c>
      <c r="E65" t="str">
        <f>IF($D65="","",VLOOKUP($D65,기준표!$B$4:$C$12,2,TRUE()))</f>
        <v>8단계</v>
      </c>
      <c r="F65" s="1" t="s">
        <v>119</v>
      </c>
    </row>
    <row r="66" spans="1:6">
      <c r="A66" t="s">
        <v>151</v>
      </c>
      <c r="B66">
        <v>63</v>
      </c>
      <c r="C66" s="1" t="s">
        <v>94</v>
      </c>
      <c r="D66">
        <v>5071742</v>
      </c>
      <c r="E66" t="str">
        <f>IF($D66="","",VLOOKUP($D66,기준표!$B$4:$C$12,2,TRUE()))</f>
        <v>8단계</v>
      </c>
      <c r="F66" s="1" t="s">
        <v>119</v>
      </c>
    </row>
    <row r="67" spans="1:6">
      <c r="A67" t="s">
        <v>151</v>
      </c>
      <c r="B67">
        <v>64</v>
      </c>
      <c r="C67" s="1" t="s">
        <v>170</v>
      </c>
      <c r="D67">
        <v>4929807</v>
      </c>
      <c r="E67" t="str">
        <f>IF($D67="","",VLOOKUP($D67,기준표!$B$4:$C$12,2,TRUE()))</f>
        <v>8단계</v>
      </c>
      <c r="F67" s="1" t="s">
        <v>119</v>
      </c>
    </row>
    <row r="68" spans="1:6">
      <c r="A68" t="s">
        <v>151</v>
      </c>
      <c r="B68">
        <v>65</v>
      </c>
      <c r="C68" s="1" t="s">
        <v>171</v>
      </c>
      <c r="D68">
        <v>4787044</v>
      </c>
      <c r="E68" t="str">
        <f>IF($D68="","",VLOOKUP($D68,기준표!$B$4:$C$12,2,TRUE()))</f>
        <v>8단계</v>
      </c>
      <c r="F68" s="1" t="s">
        <v>119</v>
      </c>
    </row>
    <row r="69" spans="1:6">
      <c r="A69" t="s">
        <v>151</v>
      </c>
      <c r="B69">
        <v>66</v>
      </c>
      <c r="C69" s="1" t="s">
        <v>172</v>
      </c>
      <c r="D69">
        <v>4549943</v>
      </c>
      <c r="E69" t="str">
        <f>IF($D69="","",VLOOKUP($D69,기준표!$B$4:$C$12,2,TRUE()))</f>
        <v>8단계</v>
      </c>
      <c r="F69" s="1" t="s">
        <v>119</v>
      </c>
    </row>
    <row r="70" spans="1:6">
      <c r="A70" t="s">
        <v>151</v>
      </c>
      <c r="B70">
        <v>67</v>
      </c>
      <c r="C70" s="1" t="s">
        <v>173</v>
      </c>
      <c r="D70">
        <v>4340958</v>
      </c>
      <c r="E70" t="str">
        <f>IF($D70="","",VLOOKUP($D70,기준표!$B$4:$C$12,2,TRUE()))</f>
        <v>8단계</v>
      </c>
      <c r="F70" s="1" t="s">
        <v>119</v>
      </c>
    </row>
    <row r="71" spans="1:6">
      <c r="A71" t="s">
        <v>151</v>
      </c>
      <c r="B71">
        <v>68</v>
      </c>
      <c r="C71" s="1" t="s">
        <v>174</v>
      </c>
      <c r="D71">
        <v>4338989</v>
      </c>
      <c r="E71" t="str">
        <f>IF($D71="","",VLOOKUP($D71,기준표!$B$4:$C$12,2,TRUE()))</f>
        <v>8단계</v>
      </c>
      <c r="F71" s="1" t="s">
        <v>119</v>
      </c>
    </row>
    <row r="72" spans="1:6">
      <c r="A72" t="s">
        <v>151</v>
      </c>
      <c r="B72">
        <v>69</v>
      </c>
      <c r="C72" s="1" t="s">
        <v>136</v>
      </c>
      <c r="D72">
        <v>4167415</v>
      </c>
      <c r="E72" t="str">
        <f>IF($D72="","",VLOOKUP($D72,기준표!$B$4:$C$12,2,TRUE()))</f>
        <v>8단계</v>
      </c>
      <c r="F72" s="1" t="s">
        <v>119</v>
      </c>
    </row>
    <row r="73" spans="1:6">
      <c r="A73" t="s">
        <v>151</v>
      </c>
      <c r="B73">
        <v>70</v>
      </c>
      <c r="C73" s="1" t="s">
        <v>100</v>
      </c>
      <c r="D73">
        <v>4130350</v>
      </c>
      <c r="E73" t="str">
        <f>IF($D73="","",VLOOKUP($D73,기준표!$B$4:$C$12,2,TRUE()))</f>
        <v>8단계</v>
      </c>
      <c r="F73" s="1" t="s">
        <v>119</v>
      </c>
    </row>
    <row r="74" spans="1:6">
      <c r="A74" t="s">
        <v>151</v>
      </c>
      <c r="B74">
        <v>71</v>
      </c>
      <c r="C74" s="1" t="s">
        <v>139</v>
      </c>
      <c r="D74">
        <v>4044325</v>
      </c>
      <c r="E74" t="str">
        <f>IF($D74="","",VLOOKUP($D74,기준표!$B$4:$C$12,2,TRUE()))</f>
        <v>8단계</v>
      </c>
      <c r="F74" s="1" t="s">
        <v>119</v>
      </c>
    </row>
    <row r="75" spans="1:6">
      <c r="A75" t="s">
        <v>151</v>
      </c>
      <c r="B75">
        <v>72</v>
      </c>
      <c r="C75" s="1" t="s">
        <v>78</v>
      </c>
      <c r="D75">
        <v>3914300</v>
      </c>
      <c r="E75" t="str">
        <f>IF($D75="","",VLOOKUP($D75,기준표!$B$4:$C$12,2,TRUE()))</f>
        <v>8단계</v>
      </c>
      <c r="F75" s="1" t="s">
        <v>119</v>
      </c>
    </row>
    <row r="76" spans="1:6">
      <c r="A76" t="s">
        <v>151</v>
      </c>
      <c r="B76">
        <v>73</v>
      </c>
      <c r="C76" s="1" t="s">
        <v>96</v>
      </c>
      <c r="D76">
        <v>3847081</v>
      </c>
      <c r="E76" t="str">
        <f>IF($D76="","",VLOOKUP($D76,기준표!$B$4:$C$12,2,TRUE()))</f>
        <v>8단계</v>
      </c>
      <c r="F76" s="1" t="s">
        <v>119</v>
      </c>
    </row>
    <row r="77" spans="1:6">
      <c r="A77" t="s">
        <v>151</v>
      </c>
      <c r="B77">
        <v>74</v>
      </c>
      <c r="C77" s="1" t="s">
        <v>175</v>
      </c>
      <c r="D77">
        <v>3783400</v>
      </c>
      <c r="E77" t="str">
        <f>IF($D77="","",VLOOKUP($D77,기준표!$B$4:$C$12,2,TRUE()))</f>
        <v>8단계</v>
      </c>
      <c r="F77" s="1" t="s">
        <v>119</v>
      </c>
    </row>
    <row r="78" spans="1:6">
      <c r="A78" t="s">
        <v>151</v>
      </c>
      <c r="B78">
        <v>75</v>
      </c>
      <c r="C78" s="1" t="s">
        <v>176</v>
      </c>
      <c r="D78">
        <v>3752119</v>
      </c>
      <c r="E78" t="str">
        <f>IF($D78="","",VLOOKUP($D78,기준표!$B$4:$C$12,2,TRUE()))</f>
        <v>8단계</v>
      </c>
      <c r="F78" s="1" t="s">
        <v>119</v>
      </c>
    </row>
    <row r="79" spans="1:6">
      <c r="A79" t="s">
        <v>151</v>
      </c>
      <c r="B79">
        <v>76</v>
      </c>
      <c r="C79" s="1" t="s">
        <v>177</v>
      </c>
      <c r="D79">
        <v>3727093</v>
      </c>
      <c r="E79" t="str">
        <f>IF($D79="","",VLOOKUP($D79,기준표!$B$4:$C$12,2,TRUE()))</f>
        <v>8단계</v>
      </c>
      <c r="F79" s="1" t="s">
        <v>119</v>
      </c>
    </row>
    <row r="80" spans="1:6">
      <c r="A80" t="s">
        <v>151</v>
      </c>
      <c r="B80">
        <v>77</v>
      </c>
      <c r="C80" s="1" t="s">
        <v>178</v>
      </c>
      <c r="D80">
        <v>3631672</v>
      </c>
      <c r="E80" t="str">
        <f>IF($D80="","",VLOOKUP($D80,기준표!$B$4:$C$12,2,TRUE()))</f>
        <v>8단계</v>
      </c>
      <c r="F80" s="1" t="s">
        <v>119</v>
      </c>
    </row>
    <row r="81" spans="1:6">
      <c r="A81" t="s">
        <v>151</v>
      </c>
      <c r="B81">
        <v>78</v>
      </c>
      <c r="C81" s="1" t="s">
        <v>179</v>
      </c>
      <c r="D81">
        <v>3202030</v>
      </c>
      <c r="E81" t="str">
        <f>IF($D81="","",VLOOKUP($D81,기준표!$B$4:$C$12,2,TRUE()))</f>
        <v>8단계</v>
      </c>
      <c r="F81" s="1" t="s">
        <v>119</v>
      </c>
    </row>
    <row r="82" spans="1:6">
      <c r="A82" t="s">
        <v>151</v>
      </c>
      <c r="B82">
        <v>79</v>
      </c>
      <c r="C82" s="1" t="s">
        <v>135</v>
      </c>
      <c r="D82">
        <v>3172756</v>
      </c>
      <c r="E82" t="str">
        <f>IF($D82="","",VLOOKUP($D82,기준표!$B$4:$C$12,2,TRUE()))</f>
        <v>8단계</v>
      </c>
      <c r="F82" s="1" t="s">
        <v>119</v>
      </c>
    </row>
    <row r="83" spans="1:6">
      <c r="A83" t="s">
        <v>151</v>
      </c>
      <c r="B83">
        <v>80</v>
      </c>
      <c r="C83" s="1" t="s">
        <v>105</v>
      </c>
      <c r="D83">
        <v>3147980</v>
      </c>
      <c r="E83" t="str">
        <f>IF($D83="","",VLOOKUP($D83,기준표!$B$4:$C$12,2,TRUE()))</f>
        <v>8단계</v>
      </c>
      <c r="F83" s="1" t="s">
        <v>119</v>
      </c>
    </row>
    <row r="84" spans="1:6">
      <c r="A84" t="s">
        <v>151</v>
      </c>
      <c r="B84">
        <v>81</v>
      </c>
      <c r="C84" s="1" t="s">
        <v>19</v>
      </c>
      <c r="D84">
        <v>2860856</v>
      </c>
      <c r="E84" t="str">
        <f>IF($D84="","",VLOOKUP($D84,기준표!$B$4:$C$12,2,TRUE()))</f>
        <v>8단계</v>
      </c>
      <c r="F84" s="1" t="s">
        <v>119</v>
      </c>
    </row>
    <row r="85" spans="1:6">
      <c r="A85" t="s">
        <v>151</v>
      </c>
      <c r="B85">
        <v>82</v>
      </c>
      <c r="C85" s="1" t="s">
        <v>92</v>
      </c>
      <c r="D85">
        <v>2811350</v>
      </c>
      <c r="E85" t="str">
        <f>IF($D85="","",VLOOKUP($D85,기준표!$B$4:$C$12,2,TRUE()))</f>
        <v>8단계</v>
      </c>
      <c r="F85" s="1" t="s">
        <v>119</v>
      </c>
    </row>
    <row r="86" spans="1:6">
      <c r="A86" t="s">
        <v>151</v>
      </c>
      <c r="B86">
        <v>83</v>
      </c>
      <c r="C86" s="1" t="s">
        <v>180</v>
      </c>
      <c r="D86">
        <v>2805761</v>
      </c>
      <c r="E86" t="str">
        <f>IF($D86="","",VLOOKUP($D86,기준표!$B$4:$C$12,2,TRUE()))</f>
        <v>8단계</v>
      </c>
      <c r="F86" s="1" t="s">
        <v>119</v>
      </c>
    </row>
    <row r="87" spans="1:6">
      <c r="A87" t="s">
        <v>151</v>
      </c>
      <c r="B87">
        <v>84</v>
      </c>
      <c r="C87" s="1" t="s">
        <v>103</v>
      </c>
      <c r="D87">
        <v>2805195</v>
      </c>
      <c r="E87" t="str">
        <f>IF($D87="","",VLOOKUP($D87,기준표!$B$4:$C$12,2,TRUE()))</f>
        <v>8단계</v>
      </c>
      <c r="F87" s="1" t="s">
        <v>119</v>
      </c>
    </row>
    <row r="88" spans="1:6">
      <c r="A88" t="s">
        <v>151</v>
      </c>
      <c r="B88">
        <v>85</v>
      </c>
      <c r="C88" s="9">
        <v>1090</v>
      </c>
      <c r="D88">
        <v>2698750</v>
      </c>
      <c r="E88" t="str">
        <f>IF($D88="","",VLOOKUP($D88,기준표!$B$4:$C$12,2,TRUE()))</f>
        <v>8단계</v>
      </c>
      <c r="F88" s="1" t="s">
        <v>119</v>
      </c>
    </row>
    <row r="89" spans="1:6">
      <c r="A89" t="s">
        <v>151</v>
      </c>
      <c r="B89">
        <v>86</v>
      </c>
      <c r="C89" s="9" t="s">
        <v>181</v>
      </c>
      <c r="D89">
        <v>2612085</v>
      </c>
      <c r="E89" t="str">
        <f>IF($D89="","",VLOOKUP($D89,기준표!$B$4:$C$12,2,TRUE()))</f>
        <v>7단계</v>
      </c>
      <c r="F89" s="1" t="s">
        <v>119</v>
      </c>
    </row>
    <row r="90" spans="1:6">
      <c r="A90" t="s">
        <v>151</v>
      </c>
      <c r="B90">
        <v>87</v>
      </c>
      <c r="C90" s="9" t="s">
        <v>101</v>
      </c>
      <c r="D90">
        <v>2429508</v>
      </c>
      <c r="E90" t="str">
        <f>IF($D90="","",VLOOKUP($D90,기준표!$B$4:$C$12,2,TRUE()))</f>
        <v>7단계</v>
      </c>
      <c r="F90" s="1" t="s">
        <v>119</v>
      </c>
    </row>
    <row r="91" spans="1:6">
      <c r="A91" t="s">
        <v>151</v>
      </c>
      <c r="B91">
        <v>88</v>
      </c>
      <c r="C91" s="1" t="s">
        <v>111</v>
      </c>
      <c r="D91">
        <v>2288605</v>
      </c>
      <c r="E91" t="str">
        <f>IF($D91="","",VLOOKUP($D91,기준표!$B$4:$C$12,2,TRUE()))</f>
        <v>7단계</v>
      </c>
      <c r="F91" s="1" t="s">
        <v>119</v>
      </c>
    </row>
    <row r="92" spans="1:6">
      <c r="A92" t="s">
        <v>151</v>
      </c>
      <c r="B92">
        <v>89</v>
      </c>
      <c r="C92" s="1" t="s">
        <v>106</v>
      </c>
      <c r="D92">
        <v>2114073</v>
      </c>
      <c r="E92" t="str">
        <f>IF($D92="","",VLOOKUP($D92,기준표!$B$4:$C$12,2,TRUE()))</f>
        <v>6단계</v>
      </c>
      <c r="F92" s="1" t="s">
        <v>119</v>
      </c>
    </row>
    <row r="93" spans="1:6">
      <c r="A93" t="s">
        <v>151</v>
      </c>
      <c r="B93">
        <v>90</v>
      </c>
      <c r="C93" s="1" t="s">
        <v>182</v>
      </c>
      <c r="D93">
        <v>1672450</v>
      </c>
      <c r="E93" t="str">
        <f>IF($D93="","",VLOOKUP($D93,기준표!$B$4:$C$12,2,TRUE()))</f>
        <v>6단계</v>
      </c>
      <c r="F93" s="1" t="s">
        <v>119</v>
      </c>
    </row>
    <row r="94" spans="1:6">
      <c r="A94" t="s">
        <v>151</v>
      </c>
      <c r="B94">
        <v>91</v>
      </c>
      <c r="C94" s="1" t="s">
        <v>109</v>
      </c>
      <c r="D94">
        <v>1576826</v>
      </c>
      <c r="E94" t="str">
        <f>IF($D94="","",VLOOKUP($D94,기준표!$B$4:$C$12,2,TRUE()))</f>
        <v>6단계</v>
      </c>
      <c r="F94" s="1" t="s">
        <v>119</v>
      </c>
    </row>
    <row r="95" spans="1:6">
      <c r="A95" t="s">
        <v>151</v>
      </c>
      <c r="B95">
        <v>92</v>
      </c>
      <c r="C95" s="1" t="s">
        <v>102</v>
      </c>
      <c r="D95">
        <v>1551811</v>
      </c>
      <c r="E95" t="str">
        <f>IF($D95="","",VLOOKUP($D95,기준표!$B$4:$C$12,2,TRUE()))</f>
        <v>6단계</v>
      </c>
      <c r="F95" s="1" t="s">
        <v>119</v>
      </c>
    </row>
    <row r="96" spans="1:6">
      <c r="A96" t="s">
        <v>151</v>
      </c>
      <c r="B96">
        <v>93</v>
      </c>
      <c r="C96" s="1" t="s">
        <v>183</v>
      </c>
      <c r="D96">
        <v>1443505</v>
      </c>
      <c r="E96" t="str">
        <f>IF($D96="","",VLOOKUP($D96,기준표!$B$4:$C$12,2,TRUE()))</f>
        <v>6단계</v>
      </c>
      <c r="F96" s="1" t="s">
        <v>119</v>
      </c>
    </row>
    <row r="97" spans="1:6">
      <c r="A97" t="s">
        <v>151</v>
      </c>
      <c r="B97">
        <v>94</v>
      </c>
      <c r="C97" s="1" t="s">
        <v>99</v>
      </c>
      <c r="D97">
        <v>1382846</v>
      </c>
      <c r="E97" t="str">
        <f>IF($D97="","",VLOOKUP($D97,기준표!$B$4:$C$12,2,TRUE()))</f>
        <v>6단계</v>
      </c>
      <c r="F97" s="1" t="s">
        <v>119</v>
      </c>
    </row>
    <row r="98" spans="1:6">
      <c r="A98" t="s">
        <v>184</v>
      </c>
      <c r="B98">
        <v>1</v>
      </c>
      <c r="C98" s="1" t="s">
        <v>123</v>
      </c>
      <c r="D98">
        <v>49555885</v>
      </c>
      <c r="E98" t="str">
        <f>IF($D98="","",VLOOKUP($D98,기준표!$B$4:$C$12,2,TRUE()))</f>
        <v>9단계</v>
      </c>
      <c r="F98" s="1" t="s">
        <v>119</v>
      </c>
    </row>
    <row r="99" spans="1:6">
      <c r="A99" t="s">
        <v>184</v>
      </c>
      <c r="B99">
        <v>2</v>
      </c>
      <c r="C99" s="1" t="s">
        <v>185</v>
      </c>
      <c r="D99">
        <v>41392245</v>
      </c>
      <c r="E99" t="str">
        <f>IF($D99="","",VLOOKUP($D99,기준표!$B$4:$C$12,2,TRUE()))</f>
        <v>9단계</v>
      </c>
      <c r="F99" s="1" t="s">
        <v>119</v>
      </c>
    </row>
    <row r="100" spans="1:6">
      <c r="A100" t="s">
        <v>184</v>
      </c>
      <c r="B100">
        <v>3</v>
      </c>
      <c r="C100" s="1" t="s">
        <v>118</v>
      </c>
      <c r="D100">
        <v>31588444</v>
      </c>
      <c r="E100" t="str">
        <f>IF($D100="","",VLOOKUP($D100,기준표!$B$4:$C$12,2,TRUE()))</f>
        <v>9단계</v>
      </c>
      <c r="F100" s="1" t="s">
        <v>119</v>
      </c>
    </row>
    <row r="101" spans="1:6">
      <c r="A101" t="s">
        <v>184</v>
      </c>
      <c r="B101">
        <v>4</v>
      </c>
      <c r="C101" s="1" t="s">
        <v>152</v>
      </c>
      <c r="D101">
        <v>31118744</v>
      </c>
      <c r="E101" t="str">
        <f>IF($D101="","",VLOOKUP($D101,기준표!$B$4:$C$12,2,TRUE()))</f>
        <v>9단계</v>
      </c>
      <c r="F101" s="1" t="s">
        <v>119</v>
      </c>
    </row>
    <row r="102" spans="1:6">
      <c r="A102" t="s">
        <v>184</v>
      </c>
      <c r="B102">
        <v>5</v>
      </c>
      <c r="C102" s="1" t="s">
        <v>18</v>
      </c>
      <c r="D102">
        <v>30828835</v>
      </c>
      <c r="E102" t="str">
        <f>IF($D102="","",VLOOKUP($D102,기준표!$B$4:$C$12,2,TRUE()))</f>
        <v>9단계</v>
      </c>
      <c r="F102" s="1" t="s">
        <v>119</v>
      </c>
    </row>
    <row r="103" spans="1:6">
      <c r="A103" t="s">
        <v>184</v>
      </c>
      <c r="B103">
        <v>6</v>
      </c>
      <c r="C103" s="1" t="s">
        <v>61</v>
      </c>
      <c r="D103">
        <v>29486896</v>
      </c>
      <c r="E103" t="str">
        <f>IF($D103="","",VLOOKUP($D103,기준표!$B$4:$C$12,2,TRUE()))</f>
        <v>9단계</v>
      </c>
      <c r="F103" s="1" t="s">
        <v>119</v>
      </c>
    </row>
    <row r="104" spans="1:6">
      <c r="A104" t="s">
        <v>184</v>
      </c>
      <c r="B104">
        <v>7</v>
      </c>
      <c r="C104" s="1" t="s">
        <v>51</v>
      </c>
      <c r="D104">
        <v>28253241</v>
      </c>
      <c r="E104" t="str">
        <f>IF($D104="","",VLOOKUP($D104,기준표!$B$4:$C$12,2,TRUE()))</f>
        <v>9단계</v>
      </c>
      <c r="F104" s="1" t="s">
        <v>119</v>
      </c>
    </row>
    <row r="105" spans="1:6">
      <c r="A105" t="s">
        <v>184</v>
      </c>
      <c r="B105">
        <v>8</v>
      </c>
      <c r="C105" s="1" t="s">
        <v>71</v>
      </c>
      <c r="D105">
        <v>28241200</v>
      </c>
      <c r="E105" t="str">
        <f>IF($D105="","",VLOOKUP($D105,기준표!$B$4:$C$12,2,TRUE()))</f>
        <v>9단계</v>
      </c>
      <c r="F105" s="1" t="s">
        <v>119</v>
      </c>
    </row>
    <row r="106" spans="1:6">
      <c r="A106" t="s">
        <v>184</v>
      </c>
      <c r="B106">
        <v>9</v>
      </c>
      <c r="C106" s="1" t="s">
        <v>160</v>
      </c>
      <c r="D106">
        <v>27772003</v>
      </c>
      <c r="E106" t="str">
        <f>IF($D106="","",VLOOKUP($D106,기준표!$B$4:$C$12,2,TRUE()))</f>
        <v>9단계</v>
      </c>
      <c r="F106" s="1" t="s">
        <v>119</v>
      </c>
    </row>
    <row r="107" spans="1:6">
      <c r="A107" t="s">
        <v>184</v>
      </c>
      <c r="B107">
        <v>10</v>
      </c>
      <c r="C107" s="1" t="s">
        <v>16</v>
      </c>
      <c r="D107">
        <v>27621252</v>
      </c>
      <c r="E107" t="str">
        <f>IF($D107="","",VLOOKUP($D107,기준표!$B$4:$C$12,2,TRUE()))</f>
        <v>9단계</v>
      </c>
      <c r="F107" s="1" t="s">
        <v>119</v>
      </c>
    </row>
    <row r="108" spans="1:6">
      <c r="A108" t="s">
        <v>184</v>
      </c>
      <c r="B108">
        <v>11</v>
      </c>
      <c r="C108" s="1" t="s">
        <v>126</v>
      </c>
      <c r="D108">
        <v>27606767</v>
      </c>
      <c r="E108" t="str">
        <f>IF($D108="","",VLOOKUP($D108,기준표!$B$4:$C$12,2,TRUE()))</f>
        <v>9단계</v>
      </c>
      <c r="F108" s="1" t="s">
        <v>119</v>
      </c>
    </row>
    <row r="109" spans="1:6">
      <c r="A109" t="s">
        <v>184</v>
      </c>
      <c r="B109">
        <v>12</v>
      </c>
      <c r="C109" s="1" t="s">
        <v>172</v>
      </c>
      <c r="D109">
        <v>26492918</v>
      </c>
      <c r="E109" t="str">
        <f>IF($D109="","",VLOOKUP($D109,기준표!$B$4:$C$12,2,TRUE()))</f>
        <v>9단계</v>
      </c>
      <c r="F109" s="1" t="s">
        <v>119</v>
      </c>
    </row>
    <row r="110" spans="1:6">
      <c r="A110" t="s">
        <v>184</v>
      </c>
      <c r="B110">
        <v>13</v>
      </c>
      <c r="C110" s="1" t="s">
        <v>153</v>
      </c>
      <c r="D110">
        <v>25687023</v>
      </c>
      <c r="E110" t="str">
        <f>IF($D110="","",VLOOKUP($D110,기준표!$B$4:$C$12,2,TRUE()))</f>
        <v>9단계</v>
      </c>
      <c r="F110" s="1" t="s">
        <v>119</v>
      </c>
    </row>
    <row r="111" spans="1:6">
      <c r="A111" t="s">
        <v>184</v>
      </c>
      <c r="B111">
        <v>14</v>
      </c>
      <c r="C111" s="1" t="s">
        <v>120</v>
      </c>
      <c r="D111">
        <v>25473518</v>
      </c>
      <c r="E111" t="str">
        <f>IF($D111="","",VLOOKUP($D111,기준표!$B$4:$C$12,2,TRUE()))</f>
        <v>9단계</v>
      </c>
      <c r="F111" s="1" t="s">
        <v>119</v>
      </c>
    </row>
    <row r="112" spans="1:6">
      <c r="A112" t="s">
        <v>184</v>
      </c>
      <c r="B112">
        <v>15</v>
      </c>
      <c r="C112" s="1" t="s">
        <v>54</v>
      </c>
      <c r="D112">
        <v>25284163</v>
      </c>
      <c r="E112" t="str">
        <f>IF($D112="","",VLOOKUP($D112,기준표!$B$4:$C$12,2,TRUE()))</f>
        <v>9단계</v>
      </c>
      <c r="F112" s="1" t="s">
        <v>119</v>
      </c>
    </row>
    <row r="113" spans="1:6">
      <c r="A113" t="s">
        <v>184</v>
      </c>
      <c r="B113">
        <v>16</v>
      </c>
      <c r="C113" s="1" t="s">
        <v>21</v>
      </c>
      <c r="D113">
        <v>23933823</v>
      </c>
      <c r="E113" t="str">
        <f>IF($D113="","",VLOOKUP($D113,기준표!$B$4:$C$12,2,TRUE()))</f>
        <v>9단계</v>
      </c>
      <c r="F113" s="1" t="s">
        <v>119</v>
      </c>
    </row>
    <row r="114" spans="1:6">
      <c r="A114" t="s">
        <v>184</v>
      </c>
      <c r="B114">
        <v>17</v>
      </c>
      <c r="C114" s="1" t="s">
        <v>178</v>
      </c>
      <c r="D114">
        <v>22852175</v>
      </c>
      <c r="E114" t="str">
        <f>IF($D114="","",VLOOKUP($D114,기준표!$B$4:$C$12,2,TRUE()))</f>
        <v>9단계</v>
      </c>
      <c r="F114" s="1" t="s">
        <v>119</v>
      </c>
    </row>
    <row r="115" spans="1:6">
      <c r="A115" t="s">
        <v>184</v>
      </c>
      <c r="B115">
        <v>18</v>
      </c>
      <c r="C115" s="1" t="s">
        <v>158</v>
      </c>
      <c r="D115">
        <v>22391466</v>
      </c>
      <c r="E115" t="str">
        <f>IF($D115="","",VLOOKUP($D115,기준표!$B$4:$C$12,2,TRUE()))</f>
        <v>9단계</v>
      </c>
      <c r="F115" s="1" t="s">
        <v>119</v>
      </c>
    </row>
    <row r="116" spans="1:6">
      <c r="A116" t="s">
        <v>184</v>
      </c>
      <c r="B116">
        <v>19</v>
      </c>
      <c r="C116" s="1" t="s">
        <v>69</v>
      </c>
      <c r="D116">
        <v>22267635</v>
      </c>
      <c r="E116" t="str">
        <f>IF($D116="","",VLOOKUP($D116,기준표!$B$4:$C$12,2,TRUE()))</f>
        <v>9단계</v>
      </c>
      <c r="F116" s="1" t="s">
        <v>119</v>
      </c>
    </row>
    <row r="117" spans="1:6">
      <c r="A117" t="s">
        <v>184</v>
      </c>
      <c r="B117">
        <v>20</v>
      </c>
      <c r="C117" s="1" t="s">
        <v>162</v>
      </c>
      <c r="D117">
        <v>21915440</v>
      </c>
      <c r="E117" t="str">
        <f>IF($D117="","",VLOOKUP($D117,기준표!$B$4:$C$12,2,TRUE()))</f>
        <v>9단계</v>
      </c>
      <c r="F117" s="1" t="s">
        <v>119</v>
      </c>
    </row>
    <row r="118" spans="1:6">
      <c r="A118" t="s">
        <v>184</v>
      </c>
      <c r="B118">
        <v>21</v>
      </c>
      <c r="C118" s="1" t="s">
        <v>84</v>
      </c>
      <c r="D118">
        <v>21752442</v>
      </c>
      <c r="E118" t="str">
        <f>IF($D118="","",VLOOKUP($D118,기준표!$B$4:$C$12,2,TRUE()))</f>
        <v>9단계</v>
      </c>
      <c r="F118" s="1" t="s">
        <v>119</v>
      </c>
    </row>
    <row r="119" spans="1:6">
      <c r="A119" t="s">
        <v>184</v>
      </c>
      <c r="B119">
        <v>22</v>
      </c>
      <c r="C119" s="1" t="s">
        <v>56</v>
      </c>
      <c r="D119">
        <v>21638979</v>
      </c>
      <c r="E119" t="str">
        <f>IF($D119="","",VLOOKUP($D119,기준표!$B$4:$C$12,2,TRUE()))</f>
        <v>9단계</v>
      </c>
      <c r="F119" s="1" t="s">
        <v>119</v>
      </c>
    </row>
    <row r="120" spans="1:6">
      <c r="A120" t="s">
        <v>184</v>
      </c>
      <c r="B120">
        <v>23</v>
      </c>
      <c r="C120" s="1" t="s">
        <v>75</v>
      </c>
      <c r="D120">
        <v>20669805</v>
      </c>
      <c r="E120" t="str">
        <f>IF($D120="","",VLOOKUP($D120,기준표!$B$4:$C$12,2,TRUE()))</f>
        <v>9단계</v>
      </c>
      <c r="F120" s="1" t="s">
        <v>119</v>
      </c>
    </row>
    <row r="121" spans="1:6">
      <c r="A121" t="s">
        <v>184</v>
      </c>
      <c r="B121">
        <v>24</v>
      </c>
      <c r="C121" s="1" t="s">
        <v>60</v>
      </c>
      <c r="D121">
        <v>20625107</v>
      </c>
      <c r="E121" t="str">
        <f>IF($D121="","",VLOOKUP($D121,기준표!$B$4:$C$12,2,TRUE()))</f>
        <v>9단계</v>
      </c>
      <c r="F121" s="1" t="s">
        <v>119</v>
      </c>
    </row>
    <row r="122" spans="1:6">
      <c r="A122" t="s">
        <v>184</v>
      </c>
      <c r="B122">
        <v>25</v>
      </c>
      <c r="C122" s="1" t="s">
        <v>161</v>
      </c>
      <c r="D122">
        <v>20519995</v>
      </c>
      <c r="E122" t="str">
        <f>IF($D122="","",VLOOKUP($D122,기준표!$B$4:$C$12,2,TRUE()))</f>
        <v>9단계</v>
      </c>
      <c r="F122" s="1" t="s">
        <v>119</v>
      </c>
    </row>
    <row r="123" spans="1:6">
      <c r="A123" t="s">
        <v>184</v>
      </c>
      <c r="B123">
        <v>26</v>
      </c>
      <c r="C123" s="1" t="s">
        <v>130</v>
      </c>
      <c r="D123">
        <v>20472113</v>
      </c>
      <c r="E123" t="str">
        <f>IF($D123="","",VLOOKUP($D123,기준표!$B$4:$C$12,2,TRUE()))</f>
        <v>9단계</v>
      </c>
      <c r="F123" s="1" t="s">
        <v>119</v>
      </c>
    </row>
    <row r="124" spans="1:6">
      <c r="A124" t="s">
        <v>184</v>
      </c>
      <c r="B124">
        <v>27</v>
      </c>
      <c r="C124" s="1" t="s">
        <v>73</v>
      </c>
      <c r="D124">
        <v>20275069</v>
      </c>
      <c r="E124" t="str">
        <f>IF($D124="","",VLOOKUP($D124,기준표!$B$4:$C$12,2,TRUE()))</f>
        <v>9단계</v>
      </c>
      <c r="F124" s="1" t="s">
        <v>119</v>
      </c>
    </row>
    <row r="125" spans="1:6">
      <c r="A125" t="s">
        <v>184</v>
      </c>
      <c r="B125">
        <v>28</v>
      </c>
      <c r="C125" s="1" t="s">
        <v>169</v>
      </c>
      <c r="D125">
        <v>19860902</v>
      </c>
      <c r="E125" t="str">
        <f>IF($D125="","",VLOOKUP($D125,기준표!$B$4:$C$12,2,TRUE()))</f>
        <v>9단계</v>
      </c>
      <c r="F125" s="1" t="s">
        <v>119</v>
      </c>
    </row>
    <row r="126" spans="1:6">
      <c r="A126" t="s">
        <v>184</v>
      </c>
      <c r="B126">
        <v>29</v>
      </c>
      <c r="C126" s="1" t="s">
        <v>5</v>
      </c>
      <c r="D126">
        <v>19639731</v>
      </c>
      <c r="E126" t="str">
        <f>IF($D126="","",VLOOKUP($D126,기준표!$B$4:$C$12,2,TRUE()))</f>
        <v>9단계</v>
      </c>
      <c r="F126" s="1" t="s">
        <v>119</v>
      </c>
    </row>
    <row r="127" spans="1:6">
      <c r="A127" t="s">
        <v>184</v>
      </c>
      <c r="B127">
        <v>30</v>
      </c>
      <c r="C127" s="1" t="s">
        <v>104</v>
      </c>
      <c r="D127">
        <v>19520492</v>
      </c>
      <c r="E127" t="str">
        <f>IF($D127="","",VLOOKUP($D127,기준표!$B$4:$C$12,2,TRUE()))</f>
        <v>9단계</v>
      </c>
      <c r="F127" s="1" t="s">
        <v>119</v>
      </c>
    </row>
    <row r="128" spans="1:6">
      <c r="A128" t="s">
        <v>184</v>
      </c>
      <c r="B128">
        <v>31</v>
      </c>
      <c r="C128" s="1" t="s">
        <v>82</v>
      </c>
      <c r="D128">
        <v>19349256</v>
      </c>
      <c r="E128" t="str">
        <f>IF($D128="","",VLOOKUP($D128,기준표!$B$4:$C$12,2,TRUE()))</f>
        <v>9단계</v>
      </c>
      <c r="F128" s="1" t="s">
        <v>119</v>
      </c>
    </row>
    <row r="129" spans="1:6">
      <c r="A129" t="s">
        <v>184</v>
      </c>
      <c r="B129">
        <v>32</v>
      </c>
      <c r="C129" s="1" t="s">
        <v>67</v>
      </c>
      <c r="D129">
        <v>18444100</v>
      </c>
      <c r="E129" t="str">
        <f>IF($D129="","",VLOOKUP($D129,기준표!$B$4:$C$12,2,TRUE()))</f>
        <v>9단계</v>
      </c>
      <c r="F129" s="1" t="s">
        <v>119</v>
      </c>
    </row>
    <row r="130" spans="1:6">
      <c r="A130" t="s">
        <v>184</v>
      </c>
      <c r="B130">
        <v>33</v>
      </c>
      <c r="C130" s="1" t="s">
        <v>179</v>
      </c>
      <c r="D130">
        <v>17666834</v>
      </c>
      <c r="E130" t="str">
        <f>IF($D130="","",VLOOKUP($D130,기준표!$B$4:$C$12,2,TRUE()))</f>
        <v>9단계</v>
      </c>
      <c r="F130" s="1" t="s">
        <v>119</v>
      </c>
    </row>
    <row r="131" spans="1:6">
      <c r="A131" t="s">
        <v>184</v>
      </c>
      <c r="B131">
        <v>34</v>
      </c>
      <c r="C131" s="1" t="s">
        <v>94</v>
      </c>
      <c r="D131">
        <v>17207046</v>
      </c>
      <c r="E131" t="str">
        <f>IF($D131="","",VLOOKUP($D131,기준표!$B$4:$C$12,2,TRUE()))</f>
        <v>9단계</v>
      </c>
      <c r="F131" s="1" t="s">
        <v>119</v>
      </c>
    </row>
    <row r="132" spans="1:6">
      <c r="A132" t="s">
        <v>184</v>
      </c>
      <c r="B132">
        <v>35</v>
      </c>
      <c r="C132" s="1" t="s">
        <v>93</v>
      </c>
      <c r="D132">
        <v>16957859</v>
      </c>
      <c r="E132" t="str">
        <f>IF($D132="","",VLOOKUP($D132,기준표!$B$4:$C$12,2,TRUE()))</f>
        <v>9단계</v>
      </c>
      <c r="F132" s="1" t="s">
        <v>119</v>
      </c>
    </row>
    <row r="133" spans="1:6">
      <c r="A133" t="s">
        <v>184</v>
      </c>
      <c r="B133">
        <v>36</v>
      </c>
      <c r="C133" s="1" t="s">
        <v>170</v>
      </c>
      <c r="D133">
        <v>16857651</v>
      </c>
      <c r="E133" t="str">
        <f>IF($D133="","",VLOOKUP($D133,기준표!$B$4:$C$12,2,TRUE()))</f>
        <v>9단계</v>
      </c>
      <c r="F133" s="1" t="s">
        <v>119</v>
      </c>
    </row>
    <row r="134" spans="1:6">
      <c r="A134" t="s">
        <v>184</v>
      </c>
      <c r="B134">
        <v>37</v>
      </c>
      <c r="C134" s="1" t="s">
        <v>64</v>
      </c>
      <c r="D134">
        <v>16789917</v>
      </c>
      <c r="E134" t="str">
        <f>IF($D134="","",VLOOKUP($D134,기준표!$B$4:$C$12,2,TRUE()))</f>
        <v>9단계</v>
      </c>
      <c r="F134" s="1" t="s">
        <v>119</v>
      </c>
    </row>
    <row r="135" spans="1:6">
      <c r="A135" t="s">
        <v>184</v>
      </c>
      <c r="B135">
        <v>38</v>
      </c>
      <c r="C135" s="1" t="s">
        <v>156</v>
      </c>
      <c r="D135">
        <v>16552453</v>
      </c>
      <c r="E135" t="str">
        <f>IF($D135="","",VLOOKUP($D135,기준표!$B$4:$C$12,2,TRUE()))</f>
        <v>9단계</v>
      </c>
      <c r="F135" s="1" t="s">
        <v>119</v>
      </c>
    </row>
    <row r="136" spans="1:6">
      <c r="A136" t="s">
        <v>184</v>
      </c>
      <c r="B136">
        <v>39</v>
      </c>
      <c r="C136" s="1" t="s">
        <v>23</v>
      </c>
      <c r="D136">
        <v>15835830</v>
      </c>
      <c r="E136" t="str">
        <f>IF($D136="","",VLOOKUP($D136,기준표!$B$4:$C$12,2,TRUE()))</f>
        <v>9단계</v>
      </c>
      <c r="F136" s="1" t="s">
        <v>119</v>
      </c>
    </row>
    <row r="137" spans="1:6">
      <c r="A137" t="s">
        <v>184</v>
      </c>
      <c r="B137">
        <v>40</v>
      </c>
      <c r="C137" s="1" t="s">
        <v>65</v>
      </c>
      <c r="D137">
        <v>15802553</v>
      </c>
      <c r="E137" t="str">
        <f>IF($D137="","",VLOOKUP($D137,기준표!$B$4:$C$12,2,TRUE()))</f>
        <v>9단계</v>
      </c>
      <c r="F137" s="1" t="s">
        <v>119</v>
      </c>
    </row>
    <row r="138" spans="1:6">
      <c r="A138" t="s">
        <v>184</v>
      </c>
      <c r="B138">
        <v>41</v>
      </c>
      <c r="C138" s="1" t="s">
        <v>79</v>
      </c>
      <c r="D138">
        <v>15741575</v>
      </c>
      <c r="E138" t="str">
        <f>IF($D138="","",VLOOKUP($D138,기준표!$B$4:$C$12,2,TRUE()))</f>
        <v>9단계</v>
      </c>
      <c r="F138" s="1" t="s">
        <v>119</v>
      </c>
    </row>
    <row r="139" spans="1:6">
      <c r="A139" t="s">
        <v>184</v>
      </c>
      <c r="B139">
        <v>42</v>
      </c>
      <c r="C139" s="1" t="s">
        <v>3</v>
      </c>
      <c r="D139">
        <v>15167733</v>
      </c>
      <c r="E139" t="str">
        <f>IF($D139="","",VLOOKUP($D139,기준표!$B$4:$C$12,2,TRUE()))</f>
        <v>9단계</v>
      </c>
      <c r="F139" s="1" t="s">
        <v>119</v>
      </c>
    </row>
    <row r="140" spans="1:6">
      <c r="A140" t="s">
        <v>184</v>
      </c>
      <c r="B140">
        <v>43</v>
      </c>
      <c r="C140" s="1" t="s">
        <v>157</v>
      </c>
      <c r="D140">
        <v>14655988</v>
      </c>
      <c r="E140" t="str">
        <f>IF($D140="","",VLOOKUP($D140,기준표!$B$4:$C$12,2,TRUE()))</f>
        <v>9단계</v>
      </c>
      <c r="F140" s="1" t="s">
        <v>119</v>
      </c>
    </row>
    <row r="141" spans="1:6">
      <c r="A141" t="s">
        <v>184</v>
      </c>
      <c r="B141">
        <v>44</v>
      </c>
      <c r="C141" s="1" t="s">
        <v>154</v>
      </c>
      <c r="D141">
        <v>14485918</v>
      </c>
      <c r="E141" t="str">
        <f>IF($D141="","",VLOOKUP($D141,기준표!$B$4:$C$12,2,TRUE()))</f>
        <v>9단계</v>
      </c>
      <c r="F141" s="1" t="s">
        <v>119</v>
      </c>
    </row>
    <row r="142" spans="1:6">
      <c r="A142" t="s">
        <v>184</v>
      </c>
      <c r="B142">
        <v>45</v>
      </c>
      <c r="C142" s="1" t="s">
        <v>86</v>
      </c>
      <c r="D142">
        <v>13876940</v>
      </c>
      <c r="E142" t="str">
        <f>IF($D142="","",VLOOKUP($D142,기준표!$B$4:$C$12,2,TRUE()))</f>
        <v>9단계</v>
      </c>
      <c r="F142" s="1" t="s">
        <v>119</v>
      </c>
    </row>
    <row r="143" spans="1:6">
      <c r="A143" t="s">
        <v>184</v>
      </c>
      <c r="B143">
        <v>46</v>
      </c>
      <c r="C143" s="1" t="s">
        <v>155</v>
      </c>
      <c r="D143">
        <v>13612059</v>
      </c>
      <c r="E143" t="str">
        <f>IF($D143="","",VLOOKUP($D143,기준표!$B$4:$C$12,2,TRUE()))</f>
        <v>9단계</v>
      </c>
      <c r="F143" s="1" t="s">
        <v>119</v>
      </c>
    </row>
    <row r="144" spans="1:6">
      <c r="A144" t="s">
        <v>184</v>
      </c>
      <c r="B144">
        <v>47</v>
      </c>
      <c r="C144" s="1" t="s">
        <v>165</v>
      </c>
      <c r="D144">
        <v>13598757</v>
      </c>
      <c r="E144" t="str">
        <f>IF($D144="","",VLOOKUP($D144,기준표!$B$4:$C$12,2,TRUE()))</f>
        <v>9단계</v>
      </c>
      <c r="F144" s="1" t="s">
        <v>119</v>
      </c>
    </row>
    <row r="145" spans="1:6">
      <c r="A145" t="s">
        <v>184</v>
      </c>
      <c r="B145">
        <v>48</v>
      </c>
      <c r="C145" s="1" t="s">
        <v>159</v>
      </c>
      <c r="D145">
        <v>13225580</v>
      </c>
      <c r="E145" t="str">
        <f>IF($D145="","",VLOOKUP($D145,기준표!$B$4:$C$12,2,TRUE()))</f>
        <v>9단계</v>
      </c>
      <c r="F145" s="1" t="s">
        <v>119</v>
      </c>
    </row>
    <row r="146" spans="1:6">
      <c r="A146" t="s">
        <v>184</v>
      </c>
      <c r="B146">
        <v>49</v>
      </c>
      <c r="C146" s="1" t="s">
        <v>11</v>
      </c>
      <c r="D146">
        <v>13024011</v>
      </c>
      <c r="E146" t="str">
        <f>IF($D146="","",VLOOKUP($D146,기준표!$B$4:$C$12,2,TRUE()))</f>
        <v>9단계</v>
      </c>
      <c r="F146" s="1" t="s">
        <v>119</v>
      </c>
    </row>
    <row r="147" spans="1:6">
      <c r="A147" t="s">
        <v>184</v>
      </c>
      <c r="B147">
        <v>50</v>
      </c>
      <c r="C147" s="1" t="s">
        <v>166</v>
      </c>
      <c r="D147">
        <v>13006238</v>
      </c>
      <c r="E147" t="str">
        <f>IF($D147="","",VLOOKUP($D147,기준표!$B$4:$C$12,2,TRUE()))</f>
        <v>9단계</v>
      </c>
      <c r="F147" s="1" t="s">
        <v>119</v>
      </c>
    </row>
    <row r="148" spans="1:6">
      <c r="A148" t="s">
        <v>184</v>
      </c>
      <c r="B148">
        <v>51</v>
      </c>
      <c r="C148" s="1" t="s">
        <v>85</v>
      </c>
      <c r="D148">
        <v>12953172</v>
      </c>
      <c r="E148" t="str">
        <f>IF($D148="","",VLOOKUP($D148,기준표!$B$4:$C$12,2,TRUE()))</f>
        <v>9단계</v>
      </c>
      <c r="F148" s="1" t="s">
        <v>119</v>
      </c>
    </row>
    <row r="149" spans="1:6">
      <c r="A149" t="s">
        <v>184</v>
      </c>
      <c r="B149">
        <v>52</v>
      </c>
      <c r="C149" s="1" t="s">
        <v>62</v>
      </c>
      <c r="D149">
        <v>12749634</v>
      </c>
      <c r="E149" t="str">
        <f>IF($D149="","",VLOOKUP($D149,기준표!$B$4:$C$12,2,TRUE()))</f>
        <v>9단계</v>
      </c>
      <c r="F149" s="1" t="s">
        <v>119</v>
      </c>
    </row>
    <row r="150" spans="1:6">
      <c r="A150" t="s">
        <v>184</v>
      </c>
      <c r="B150">
        <v>53</v>
      </c>
      <c r="C150" s="1" t="s">
        <v>74</v>
      </c>
      <c r="D150">
        <v>12458854</v>
      </c>
      <c r="E150" t="str">
        <f>IF($D150="","",VLOOKUP($D150,기준표!$B$4:$C$12,2,TRUE()))</f>
        <v>9단계</v>
      </c>
      <c r="F150" s="1" t="s">
        <v>119</v>
      </c>
    </row>
    <row r="151" spans="1:6">
      <c r="A151" t="s">
        <v>184</v>
      </c>
      <c r="B151">
        <v>54</v>
      </c>
      <c r="C151" s="1" t="s">
        <v>127</v>
      </c>
      <c r="D151">
        <v>12291294</v>
      </c>
      <c r="E151" t="str">
        <f>IF($D151="","",VLOOKUP($D151,기준표!$B$4:$C$12,2,TRUE()))</f>
        <v>9단계</v>
      </c>
      <c r="F151" s="1" t="s">
        <v>119</v>
      </c>
    </row>
    <row r="152" spans="1:6">
      <c r="A152" t="s">
        <v>184</v>
      </c>
      <c r="B152">
        <v>55</v>
      </c>
      <c r="C152" s="1" t="s">
        <v>80</v>
      </c>
      <c r="D152">
        <v>12198984</v>
      </c>
      <c r="E152" t="str">
        <f>IF($D152="","",VLOOKUP($D152,기준표!$B$4:$C$12,2,TRUE()))</f>
        <v>9단계</v>
      </c>
      <c r="F152" s="1" t="s">
        <v>119</v>
      </c>
    </row>
    <row r="153" spans="1:6">
      <c r="A153" t="s">
        <v>184</v>
      </c>
      <c r="B153">
        <v>56</v>
      </c>
      <c r="C153" s="1" t="s">
        <v>122</v>
      </c>
      <c r="D153">
        <v>11566252</v>
      </c>
      <c r="E153" t="str">
        <f>IF($D153="","",VLOOKUP($D153,기준표!$B$4:$C$12,2,TRUE()))</f>
        <v>9단계</v>
      </c>
      <c r="F153" s="1" t="s">
        <v>119</v>
      </c>
    </row>
    <row r="154" spans="1:6">
      <c r="A154" t="s">
        <v>184</v>
      </c>
      <c r="B154">
        <v>57</v>
      </c>
      <c r="C154" s="1" t="s">
        <v>174</v>
      </c>
      <c r="D154">
        <v>11258731</v>
      </c>
      <c r="E154" t="str">
        <f>IF($D154="","",VLOOKUP($D154,기준표!$B$4:$C$12,2,TRUE()))</f>
        <v>9단계</v>
      </c>
      <c r="F154" s="1" t="s">
        <v>119</v>
      </c>
    </row>
    <row r="155" spans="1:6">
      <c r="A155" t="s">
        <v>184</v>
      </c>
      <c r="B155">
        <v>58</v>
      </c>
      <c r="C155" s="1" t="s">
        <v>81</v>
      </c>
      <c r="D155">
        <v>11244257</v>
      </c>
      <c r="E155" t="str">
        <f>IF($D155="","",VLOOKUP($D155,기준표!$B$4:$C$12,2,TRUE()))</f>
        <v>9단계</v>
      </c>
      <c r="F155" s="1" t="s">
        <v>119</v>
      </c>
    </row>
    <row r="156" spans="1:6">
      <c r="A156" t="s">
        <v>184</v>
      </c>
      <c r="B156">
        <v>59</v>
      </c>
      <c r="C156" s="1" t="s">
        <v>186</v>
      </c>
      <c r="D156">
        <v>10481222</v>
      </c>
      <c r="E156" t="str">
        <f>IF($D156="","",VLOOKUP($D156,기준표!$B$4:$C$12,2,TRUE()))</f>
        <v>9단계</v>
      </c>
      <c r="F156" s="1" t="s">
        <v>119</v>
      </c>
    </row>
    <row r="157" spans="1:6">
      <c r="A157" t="s">
        <v>184</v>
      </c>
      <c r="B157">
        <v>60</v>
      </c>
      <c r="C157" s="1" t="s">
        <v>168</v>
      </c>
      <c r="D157">
        <v>10360364</v>
      </c>
      <c r="E157" t="str">
        <f>IF($D157="","",VLOOKUP($D157,기준표!$B$4:$C$12,2,TRUE()))</f>
        <v>9단계</v>
      </c>
      <c r="F157" s="1" t="s">
        <v>119</v>
      </c>
    </row>
    <row r="158" spans="1:6">
      <c r="A158" t="s">
        <v>184</v>
      </c>
      <c r="B158">
        <v>61</v>
      </c>
      <c r="C158" s="1" t="s">
        <v>181</v>
      </c>
      <c r="D158">
        <v>10325265</v>
      </c>
      <c r="E158" t="str">
        <f>IF($D158="","",VLOOKUP($D158,기준표!$B$4:$C$12,2,TRUE()))</f>
        <v>9단계</v>
      </c>
      <c r="F158" s="1" t="s">
        <v>119</v>
      </c>
    </row>
    <row r="159" spans="1:6">
      <c r="A159" t="s">
        <v>184</v>
      </c>
      <c r="B159">
        <v>62</v>
      </c>
      <c r="C159" s="1" t="s">
        <v>9</v>
      </c>
      <c r="D159">
        <v>10227945</v>
      </c>
      <c r="E159" t="str">
        <f>IF($D159="","",VLOOKUP($D159,기준표!$B$4:$C$12,2,TRUE()))</f>
        <v>9단계</v>
      </c>
      <c r="F159" s="1" t="s">
        <v>119</v>
      </c>
    </row>
    <row r="160" spans="1:6">
      <c r="A160" t="s">
        <v>184</v>
      </c>
      <c r="B160">
        <v>63</v>
      </c>
      <c r="C160" s="1" t="s">
        <v>136</v>
      </c>
      <c r="D160">
        <v>9846833</v>
      </c>
      <c r="E160" t="str">
        <f>IF($D160="","",VLOOKUP($D160,기준표!$B$4:$C$12,2,TRUE()))</f>
        <v>9단계</v>
      </c>
      <c r="F160" s="1" t="s">
        <v>119</v>
      </c>
    </row>
    <row r="161" spans="1:6">
      <c r="A161" t="s">
        <v>184</v>
      </c>
      <c r="B161">
        <v>64</v>
      </c>
      <c r="C161" s="1" t="s">
        <v>92</v>
      </c>
      <c r="D161">
        <v>9560732</v>
      </c>
      <c r="E161" t="str">
        <f>IF($D161="","",VLOOKUP($D161,기준표!$B$4:$C$12,2,TRUE()))</f>
        <v>9단계</v>
      </c>
      <c r="F161" s="1" t="s">
        <v>119</v>
      </c>
    </row>
    <row r="162" spans="1:6">
      <c r="A162" t="s">
        <v>184</v>
      </c>
      <c r="B162">
        <v>65</v>
      </c>
      <c r="C162" s="1" t="s">
        <v>12</v>
      </c>
      <c r="D162">
        <v>9518519</v>
      </c>
      <c r="E162" t="str">
        <f>IF($D162="","",VLOOKUP($D162,기준표!$B$4:$C$12,2,TRUE()))</f>
        <v>9단계</v>
      </c>
      <c r="F162" s="1" t="s">
        <v>119</v>
      </c>
    </row>
    <row r="163" spans="1:6">
      <c r="A163" t="s">
        <v>184</v>
      </c>
      <c r="B163">
        <v>66</v>
      </c>
      <c r="C163" s="1" t="s">
        <v>77</v>
      </c>
      <c r="D163">
        <v>9505627</v>
      </c>
      <c r="E163" t="str">
        <f>IF($D163="","",VLOOKUP($D163,기준표!$B$4:$C$12,2,TRUE()))</f>
        <v>9단계</v>
      </c>
      <c r="F163" s="1" t="s">
        <v>119</v>
      </c>
    </row>
    <row r="164" spans="1:6">
      <c r="A164" t="s">
        <v>184</v>
      </c>
      <c r="B164">
        <v>67</v>
      </c>
      <c r="C164" s="1" t="s">
        <v>176</v>
      </c>
      <c r="D164">
        <v>9375277</v>
      </c>
      <c r="E164" t="str">
        <f>IF($D164="","",VLOOKUP($D164,기준표!$B$4:$C$12,2,TRUE()))</f>
        <v>9단계</v>
      </c>
      <c r="F164" s="1" t="s">
        <v>119</v>
      </c>
    </row>
    <row r="165" spans="1:6">
      <c r="A165" t="s">
        <v>184</v>
      </c>
      <c r="B165">
        <v>68</v>
      </c>
      <c r="C165" s="1" t="s">
        <v>163</v>
      </c>
      <c r="D165">
        <v>9358417</v>
      </c>
      <c r="E165" t="str">
        <f>IF($D165="","",VLOOKUP($D165,기준표!$B$4:$C$12,2,TRUE()))</f>
        <v>9단계</v>
      </c>
      <c r="F165" s="1" t="s">
        <v>119</v>
      </c>
    </row>
    <row r="166" spans="1:6">
      <c r="A166" t="s">
        <v>184</v>
      </c>
      <c r="B166">
        <v>69</v>
      </c>
      <c r="C166" s="1" t="s">
        <v>63</v>
      </c>
      <c r="D166">
        <v>9282705</v>
      </c>
      <c r="E166" t="str">
        <f>IF($D166="","",VLOOKUP($D166,기준표!$B$4:$C$12,2,TRUE()))</f>
        <v>9단계</v>
      </c>
      <c r="F166" s="1" t="s">
        <v>119</v>
      </c>
    </row>
    <row r="167" spans="1:6">
      <c r="A167" t="s">
        <v>184</v>
      </c>
      <c r="B167">
        <v>70</v>
      </c>
      <c r="C167" s="1" t="s">
        <v>106</v>
      </c>
      <c r="D167">
        <v>8790270</v>
      </c>
      <c r="E167" t="str">
        <f>IF($D167="","",VLOOKUP($D167,기준표!$B$4:$C$12,2,TRUE()))</f>
        <v>9단계</v>
      </c>
      <c r="F167" s="1" t="s">
        <v>119</v>
      </c>
    </row>
    <row r="168" spans="1:6">
      <c r="A168" t="s">
        <v>184</v>
      </c>
      <c r="B168">
        <v>71</v>
      </c>
      <c r="C168" s="1" t="s">
        <v>100</v>
      </c>
      <c r="D168">
        <v>8775000</v>
      </c>
      <c r="E168" t="str">
        <f>IF($D168="","",VLOOKUP($D168,기준표!$B$4:$C$12,2,TRUE()))</f>
        <v>9단계</v>
      </c>
      <c r="F168" s="1" t="s">
        <v>119</v>
      </c>
    </row>
    <row r="169" spans="1:6">
      <c r="A169" t="s">
        <v>184</v>
      </c>
      <c r="B169">
        <v>72</v>
      </c>
      <c r="C169" s="1" t="s">
        <v>173</v>
      </c>
      <c r="D169">
        <v>8687613</v>
      </c>
      <c r="E169" t="str">
        <f>IF($D169="","",VLOOKUP($D169,기준표!$B$4:$C$12,2,TRUE()))</f>
        <v>9단계</v>
      </c>
      <c r="F169" s="1" t="s">
        <v>119</v>
      </c>
    </row>
    <row r="170" spans="1:6">
      <c r="A170" t="s">
        <v>184</v>
      </c>
      <c r="B170">
        <v>73</v>
      </c>
      <c r="C170" s="1" t="s">
        <v>187</v>
      </c>
      <c r="D170">
        <v>8632709</v>
      </c>
      <c r="E170" t="str">
        <f>IF($D170="","",VLOOKUP($D170,기준표!$B$4:$C$12,2,TRUE()))</f>
        <v>9단계</v>
      </c>
      <c r="F170" s="1" t="s">
        <v>119</v>
      </c>
    </row>
    <row r="171" spans="1:6">
      <c r="A171" t="s">
        <v>184</v>
      </c>
      <c r="B171">
        <v>74</v>
      </c>
      <c r="C171" s="1" t="s">
        <v>105</v>
      </c>
      <c r="D171">
        <v>8318782</v>
      </c>
      <c r="E171" t="str">
        <f>IF($D171="","",VLOOKUP($D171,기준표!$B$4:$C$12,2,TRUE()))</f>
        <v>9단계</v>
      </c>
      <c r="F171" s="1" t="s">
        <v>119</v>
      </c>
    </row>
    <row r="172" spans="1:6">
      <c r="A172" t="s">
        <v>184</v>
      </c>
      <c r="B172">
        <v>75</v>
      </c>
      <c r="C172" s="1" t="s">
        <v>129</v>
      </c>
      <c r="D172">
        <v>8060300</v>
      </c>
      <c r="E172" t="str">
        <f>IF($D172="","",VLOOKUP($D172,기준표!$B$4:$C$12,2,TRUE()))</f>
        <v>9단계</v>
      </c>
      <c r="F172" s="1" t="s">
        <v>119</v>
      </c>
    </row>
    <row r="173" spans="1:6">
      <c r="A173" t="s">
        <v>184</v>
      </c>
      <c r="B173">
        <v>76</v>
      </c>
      <c r="C173" s="1" t="s">
        <v>164</v>
      </c>
      <c r="D173">
        <v>7990764</v>
      </c>
      <c r="E173" t="str">
        <f>IF($D173="","",VLOOKUP($D173,기준표!$B$4:$C$12,2,TRUE()))</f>
        <v>9단계</v>
      </c>
      <c r="F173" s="1" t="s">
        <v>119</v>
      </c>
    </row>
    <row r="174" spans="1:6">
      <c r="A174" t="s">
        <v>184</v>
      </c>
      <c r="B174">
        <v>77</v>
      </c>
      <c r="C174" s="1" t="s">
        <v>102</v>
      </c>
      <c r="D174">
        <v>7872684</v>
      </c>
      <c r="E174" t="str">
        <f>IF($D174="","",VLOOKUP($D174,기준표!$B$4:$C$12,2,TRUE()))</f>
        <v>9단계</v>
      </c>
      <c r="F174" s="1" t="s">
        <v>119</v>
      </c>
    </row>
    <row r="175" spans="1:6">
      <c r="A175" t="s">
        <v>184</v>
      </c>
      <c r="B175">
        <v>78</v>
      </c>
      <c r="C175" s="1" t="s">
        <v>175</v>
      </c>
      <c r="D175">
        <v>7399490</v>
      </c>
      <c r="E175" t="str">
        <f>IF($D175="","",VLOOKUP($D175,기준표!$B$4:$C$12,2,TRUE()))</f>
        <v>9단계</v>
      </c>
      <c r="F175" s="1" t="s">
        <v>119</v>
      </c>
    </row>
    <row r="176" spans="1:6">
      <c r="A176" t="s">
        <v>184</v>
      </c>
      <c r="B176">
        <v>79</v>
      </c>
      <c r="C176" s="1" t="s">
        <v>180</v>
      </c>
      <c r="D176">
        <v>7365267</v>
      </c>
      <c r="E176" t="str">
        <f>IF($D176="","",VLOOKUP($D176,기준표!$B$4:$C$12,2,TRUE()))</f>
        <v>9단계</v>
      </c>
      <c r="F176" s="1" t="s">
        <v>119</v>
      </c>
    </row>
    <row r="177" spans="1:6">
      <c r="A177" t="s">
        <v>184</v>
      </c>
      <c r="B177">
        <v>80</v>
      </c>
      <c r="C177" s="1" t="s">
        <v>171</v>
      </c>
      <c r="D177">
        <v>7314356</v>
      </c>
      <c r="E177" t="str">
        <f>IF($D177="","",VLOOKUP($D177,기준표!$B$4:$C$12,2,TRUE()))</f>
        <v>9단계</v>
      </c>
      <c r="F177" s="1" t="s">
        <v>119</v>
      </c>
    </row>
    <row r="178" spans="1:6">
      <c r="A178" t="s">
        <v>184</v>
      </c>
      <c r="B178">
        <v>81</v>
      </c>
      <c r="C178" s="1" t="s">
        <v>78</v>
      </c>
      <c r="D178">
        <v>6082494</v>
      </c>
      <c r="E178" t="str">
        <f>IF($D178="","",VLOOKUP($D178,기준표!$B$4:$C$12,2,TRUE()))</f>
        <v>8단계</v>
      </c>
      <c r="F178" s="1" t="s">
        <v>119</v>
      </c>
    </row>
    <row r="179" spans="1:6">
      <c r="A179" t="s">
        <v>184</v>
      </c>
      <c r="B179">
        <v>82</v>
      </c>
      <c r="C179" s="1" t="s">
        <v>135</v>
      </c>
      <c r="D179">
        <v>5877106</v>
      </c>
      <c r="E179" t="str">
        <f>IF($D179="","",VLOOKUP($D179,기준표!$B$4:$C$12,2,TRUE()))</f>
        <v>8단계</v>
      </c>
      <c r="F179" s="1" t="s">
        <v>119</v>
      </c>
    </row>
    <row r="180" spans="1:6">
      <c r="A180" t="s">
        <v>184</v>
      </c>
      <c r="B180">
        <v>83</v>
      </c>
      <c r="C180" s="1" t="s">
        <v>96</v>
      </c>
      <c r="D180">
        <v>5752086</v>
      </c>
      <c r="E180" t="str">
        <f>IF($D180="","",VLOOKUP($D180,기준표!$B$4:$C$12,2,TRUE()))</f>
        <v>8단계</v>
      </c>
      <c r="F180" s="1" t="s">
        <v>119</v>
      </c>
    </row>
    <row r="181" spans="1:6">
      <c r="A181" t="s">
        <v>184</v>
      </c>
      <c r="B181">
        <v>84</v>
      </c>
      <c r="C181" s="1" t="s">
        <v>177</v>
      </c>
      <c r="D181">
        <v>5239048</v>
      </c>
      <c r="E181" t="str">
        <f>IF($D181="","",VLOOKUP($D181,기준표!$B$4:$C$12,2,TRUE()))</f>
        <v>8단계</v>
      </c>
      <c r="F181" s="1" t="s">
        <v>119</v>
      </c>
    </row>
    <row r="182" spans="1:6">
      <c r="A182" t="s">
        <v>184</v>
      </c>
      <c r="B182">
        <v>85</v>
      </c>
      <c r="C182" s="1" t="s">
        <v>167</v>
      </c>
      <c r="D182">
        <v>4842672</v>
      </c>
      <c r="E182" t="str">
        <f>IF($D182="","",VLOOKUP($D182,기준표!$B$4:$C$12,2,TRUE()))</f>
        <v>8단계</v>
      </c>
      <c r="F182" s="1" t="s">
        <v>119</v>
      </c>
    </row>
    <row r="183" spans="1:6">
      <c r="A183" t="s">
        <v>184</v>
      </c>
      <c r="B183">
        <v>86</v>
      </c>
      <c r="C183" s="1" t="s">
        <v>139</v>
      </c>
      <c r="D183">
        <v>4741626</v>
      </c>
      <c r="E183" t="str">
        <f>IF($D183="","",VLOOKUP($D183,기준표!$B$4:$C$12,2,TRUE()))</f>
        <v>8단계</v>
      </c>
      <c r="F183" s="1" t="s">
        <v>119</v>
      </c>
    </row>
    <row r="184" spans="1:6">
      <c r="A184" t="s">
        <v>184</v>
      </c>
      <c r="B184">
        <v>87</v>
      </c>
      <c r="C184" s="1" t="s">
        <v>88</v>
      </c>
      <c r="D184">
        <v>3747308</v>
      </c>
      <c r="E184" t="str">
        <f>IF($D184="","",VLOOKUP($D184,기준표!$B$4:$C$12,2,TRUE()))</f>
        <v>8단계</v>
      </c>
      <c r="F184" s="1" t="s">
        <v>119</v>
      </c>
    </row>
    <row r="185" spans="1:6">
      <c r="A185" t="s">
        <v>184</v>
      </c>
      <c r="B185">
        <v>88</v>
      </c>
      <c r="C185" s="1" t="s">
        <v>101</v>
      </c>
      <c r="D185">
        <v>3696126</v>
      </c>
      <c r="E185" t="str">
        <f>IF($D185="","",VLOOKUP($D185,기준표!$B$4:$C$12,2,TRUE()))</f>
        <v>8단계</v>
      </c>
      <c r="F185" s="1" t="s">
        <v>119</v>
      </c>
    </row>
    <row r="186" spans="1:6">
      <c r="A186" t="s">
        <v>184</v>
      </c>
      <c r="B186">
        <v>89</v>
      </c>
      <c r="C186" s="1" t="s">
        <v>103</v>
      </c>
      <c r="D186">
        <v>3668688</v>
      </c>
      <c r="E186" t="str">
        <f>IF($D186="","",VLOOKUP($D186,기준표!$B$4:$C$12,2,TRUE()))</f>
        <v>8단계</v>
      </c>
      <c r="F186" s="1" t="s">
        <v>119</v>
      </c>
    </row>
    <row r="187" spans="1:6">
      <c r="A187" t="s">
        <v>184</v>
      </c>
      <c r="B187">
        <v>90</v>
      </c>
      <c r="C187" s="1" t="s">
        <v>111</v>
      </c>
      <c r="D187">
        <v>3345784</v>
      </c>
      <c r="E187" t="str">
        <f>IF($D187="","",VLOOKUP($D187,기준표!$B$4:$C$12,2,TRUE()))</f>
        <v>8단계</v>
      </c>
      <c r="F187" s="1" t="s">
        <v>119</v>
      </c>
    </row>
    <row r="188" spans="1:6">
      <c r="A188" t="s">
        <v>184</v>
      </c>
      <c r="B188">
        <v>91</v>
      </c>
      <c r="C188" s="1" t="s">
        <v>110</v>
      </c>
      <c r="D188">
        <v>2969668</v>
      </c>
      <c r="E188" t="str">
        <f>IF($D188="","",VLOOKUP($D188,기준표!$B$4:$C$12,2,TRUE()))</f>
        <v>8단계</v>
      </c>
      <c r="F188" s="1" t="s">
        <v>119</v>
      </c>
    </row>
    <row r="189" spans="1:6">
      <c r="A189" t="s">
        <v>184</v>
      </c>
      <c r="B189">
        <v>92</v>
      </c>
      <c r="C189" s="1" t="s">
        <v>19</v>
      </c>
      <c r="D189">
        <v>2798189</v>
      </c>
      <c r="E189" t="str">
        <f>IF($D189="","",VLOOKUP($D189,기준표!$B$4:$C$12,2,TRUE()))</f>
        <v>8단계</v>
      </c>
      <c r="F189" s="1" t="s">
        <v>119</v>
      </c>
    </row>
    <row r="190" spans="1:6">
      <c r="A190" t="s">
        <v>184</v>
      </c>
      <c r="B190">
        <v>93</v>
      </c>
      <c r="C190" s="1" t="s">
        <v>182</v>
      </c>
      <c r="D190">
        <v>2453122</v>
      </c>
      <c r="E190" t="str">
        <f>IF($D190="","",VLOOKUP($D190,기준표!$B$4:$C$12,2,TRUE()))</f>
        <v>7단계</v>
      </c>
      <c r="F190" s="1" t="s">
        <v>119</v>
      </c>
    </row>
    <row r="191" spans="1:6">
      <c r="A191" t="s">
        <v>184</v>
      </c>
      <c r="B191">
        <v>94</v>
      </c>
      <c r="C191" s="1" t="s">
        <v>99</v>
      </c>
      <c r="D191">
        <v>2224756</v>
      </c>
      <c r="E191" t="str">
        <f>IF($D191="","",VLOOKUP($D191,기준표!$B$4:$C$12,2,TRUE()))</f>
        <v>6단계</v>
      </c>
      <c r="F191" s="1" t="s">
        <v>119</v>
      </c>
    </row>
    <row r="192" spans="1:6">
      <c r="A192" t="s">
        <v>184</v>
      </c>
      <c r="B192">
        <v>95</v>
      </c>
      <c r="C192" s="1" t="s">
        <v>109</v>
      </c>
      <c r="D192">
        <v>1896683</v>
      </c>
      <c r="E192" t="str">
        <f>IF($D192="","",VLOOKUP($D192,기준표!$B$4:$C$12,2,TRUE()))</f>
        <v>6단계</v>
      </c>
      <c r="F192" s="1" t="s">
        <v>119</v>
      </c>
    </row>
    <row r="193" spans="1:6">
      <c r="A193" t="s">
        <v>184</v>
      </c>
      <c r="B193">
        <v>96</v>
      </c>
      <c r="C193" s="1" t="s">
        <v>113</v>
      </c>
      <c r="D193">
        <v>76500</v>
      </c>
      <c r="E193" t="str">
        <f>IF($D193="","",VLOOKUP($D193,기준표!$B$4:$C$12,2,TRUE()))</f>
        <v>2단계</v>
      </c>
      <c r="F193" s="1" t="s">
        <v>119</v>
      </c>
    </row>
    <row r="194" spans="1:6">
      <c r="A194" t="s">
        <v>188</v>
      </c>
      <c r="B194">
        <v>1</v>
      </c>
      <c r="C194" t="s">
        <v>51</v>
      </c>
      <c r="D194">
        <v>19103250</v>
      </c>
      <c r="E194" t="str">
        <f>IF($D194="","",VLOOKUP($D194,기준표!$B$4:$C$12,2,TRUE()))</f>
        <v>9단계</v>
      </c>
      <c r="F194" t="s">
        <v>119</v>
      </c>
    </row>
    <row r="195" spans="1:6">
      <c r="A195" t="s">
        <v>188</v>
      </c>
      <c r="B195">
        <v>2</v>
      </c>
      <c r="C195" t="s">
        <v>118</v>
      </c>
      <c r="D195">
        <v>17461860</v>
      </c>
      <c r="E195" t="str">
        <f>IF($D195="","",VLOOKUP($D195,기준표!$B$4:$C$12,2,TRUE()))</f>
        <v>9단계</v>
      </c>
      <c r="F195" t="s">
        <v>119</v>
      </c>
    </row>
    <row r="196" spans="1:6">
      <c r="A196" t="s">
        <v>188</v>
      </c>
      <c r="B196">
        <v>3</v>
      </c>
      <c r="C196" t="s">
        <v>130</v>
      </c>
      <c r="D196">
        <v>13776900</v>
      </c>
      <c r="E196" t="str">
        <f>IF($D196="","",VLOOKUP($D196,기준표!$B$4:$C$12,2,TRUE()))</f>
        <v>9단계</v>
      </c>
      <c r="F196" t="s">
        <v>119</v>
      </c>
    </row>
    <row r="197" spans="1:6">
      <c r="A197" t="s">
        <v>188</v>
      </c>
      <c r="B197">
        <v>4</v>
      </c>
      <c r="C197" t="s">
        <v>189</v>
      </c>
      <c r="D197">
        <v>11574780</v>
      </c>
      <c r="E197" t="str">
        <f>IF($D197="","",VLOOKUP($D197,기준표!$B$4:$C$12,2,TRUE()))</f>
        <v>9단계</v>
      </c>
      <c r="F197" t="s">
        <v>119</v>
      </c>
    </row>
    <row r="198" spans="1:6">
      <c r="A198" t="s">
        <v>188</v>
      </c>
      <c r="B198">
        <v>5</v>
      </c>
      <c r="C198" t="s">
        <v>16</v>
      </c>
      <c r="D198">
        <v>10988070</v>
      </c>
      <c r="E198" t="str">
        <f>IF($D198="","",VLOOKUP($D198,기준표!$B$4:$C$12,2,TRUE()))</f>
        <v>9단계</v>
      </c>
      <c r="F198" t="s">
        <v>119</v>
      </c>
    </row>
    <row r="199" spans="1:6">
      <c r="A199" t="s">
        <v>188</v>
      </c>
      <c r="B199">
        <v>6</v>
      </c>
      <c r="C199" t="s">
        <v>62</v>
      </c>
      <c r="D199">
        <v>10955114</v>
      </c>
      <c r="E199" t="str">
        <f>IF($D199="","",VLOOKUP($D199,기준표!$B$4:$C$12,2,TRUE()))</f>
        <v>9단계</v>
      </c>
      <c r="F199" t="s">
        <v>119</v>
      </c>
    </row>
    <row r="200" spans="1:6">
      <c r="A200" t="s">
        <v>188</v>
      </c>
      <c r="B200">
        <v>7</v>
      </c>
      <c r="C200" t="s">
        <v>174</v>
      </c>
      <c r="D200">
        <v>10408017</v>
      </c>
      <c r="E200" t="str">
        <f>IF($D200="","",VLOOKUP($D200,기준표!$B$4:$C$12,2,TRUE()))</f>
        <v>9단계</v>
      </c>
      <c r="F200" t="s">
        <v>119</v>
      </c>
    </row>
    <row r="201" spans="1:6">
      <c r="A201" t="s">
        <v>188</v>
      </c>
      <c r="B201">
        <v>8</v>
      </c>
      <c r="C201" t="s">
        <v>61</v>
      </c>
      <c r="D201">
        <v>10389480</v>
      </c>
      <c r="E201" t="str">
        <f>IF($D201="","",VLOOKUP($D201,기준표!$B$4:$C$12,2,TRUE()))</f>
        <v>9단계</v>
      </c>
      <c r="F201" t="s">
        <v>119</v>
      </c>
    </row>
    <row r="202" spans="1:6">
      <c r="A202" t="s">
        <v>188</v>
      </c>
      <c r="B202">
        <v>9</v>
      </c>
      <c r="C202" t="s">
        <v>69</v>
      </c>
      <c r="D202">
        <v>10120890</v>
      </c>
      <c r="E202" t="str">
        <f>IF($D202="","",VLOOKUP($D202,기준표!$B$4:$C$12,2,TRUE()))</f>
        <v>9단계</v>
      </c>
      <c r="F202" t="s">
        <v>119</v>
      </c>
    </row>
    <row r="203" spans="1:6">
      <c r="A203" t="s">
        <v>188</v>
      </c>
      <c r="B203">
        <v>10</v>
      </c>
      <c r="C203" t="s">
        <v>163</v>
      </c>
      <c r="D203">
        <v>10010280</v>
      </c>
      <c r="E203" t="str">
        <f>IF($D203="","",VLOOKUP($D203,기준표!$B$4:$C$12,2,TRUE()))</f>
        <v>9단계</v>
      </c>
      <c r="F203" t="s">
        <v>119</v>
      </c>
    </row>
    <row r="204" spans="1:6">
      <c r="A204" t="s">
        <v>188</v>
      </c>
      <c r="B204">
        <v>11</v>
      </c>
      <c r="C204" t="s">
        <v>153</v>
      </c>
      <c r="D204">
        <v>9885558</v>
      </c>
      <c r="E204" t="str">
        <f>IF($D204="","",VLOOKUP($D204,기준표!$B$4:$C$12,2,TRUE()))</f>
        <v>9단계</v>
      </c>
      <c r="F204" t="s">
        <v>119</v>
      </c>
    </row>
    <row r="205" spans="1:6">
      <c r="A205" t="s">
        <v>188</v>
      </c>
      <c r="B205">
        <v>12</v>
      </c>
      <c r="C205" t="s">
        <v>56</v>
      </c>
      <c r="D205">
        <v>9794790</v>
      </c>
      <c r="E205" t="str">
        <f>IF($D205="","",VLOOKUP($D205,기준표!$B$4:$C$12,2,TRUE()))</f>
        <v>9단계</v>
      </c>
      <c r="F205" t="s">
        <v>119</v>
      </c>
    </row>
    <row r="206" spans="1:6">
      <c r="A206" t="s">
        <v>188</v>
      </c>
      <c r="B206">
        <v>13</v>
      </c>
      <c r="C206" t="s">
        <v>73</v>
      </c>
      <c r="D206">
        <v>9780540</v>
      </c>
      <c r="E206" t="str">
        <f>IF($D206="","",VLOOKUP($D206,기준표!$B$4:$C$12,2,TRUE()))</f>
        <v>9단계</v>
      </c>
      <c r="F206" t="s">
        <v>119</v>
      </c>
    </row>
    <row r="207" spans="1:6">
      <c r="A207" t="s">
        <v>188</v>
      </c>
      <c r="B207">
        <v>14</v>
      </c>
      <c r="C207" t="s">
        <v>190</v>
      </c>
      <c r="D207">
        <v>9579790</v>
      </c>
      <c r="E207" t="str">
        <f>IF($D207="","",VLOOKUP($D207,기준표!$B$4:$C$12,2,TRUE()))</f>
        <v>9단계</v>
      </c>
      <c r="F207" t="s">
        <v>119</v>
      </c>
    </row>
    <row r="208" spans="1:6">
      <c r="A208" t="s">
        <v>188</v>
      </c>
      <c r="B208">
        <v>15</v>
      </c>
      <c r="C208" t="s">
        <v>5</v>
      </c>
      <c r="D208">
        <v>9528057</v>
      </c>
      <c r="E208" t="str">
        <f>IF($D208="","",VLOOKUP($D208,기준표!$B$4:$C$12,2,TRUE()))</f>
        <v>9단계</v>
      </c>
      <c r="F208" t="s">
        <v>119</v>
      </c>
    </row>
    <row r="209" spans="1:6">
      <c r="A209" t="s">
        <v>188</v>
      </c>
      <c r="B209">
        <v>16</v>
      </c>
      <c r="C209" t="s">
        <v>18</v>
      </c>
      <c r="D209">
        <v>9036720</v>
      </c>
      <c r="E209" t="str">
        <f>IF($D209="","",VLOOKUP($D209,기준표!$B$4:$C$12,2,TRUE()))</f>
        <v>9단계</v>
      </c>
      <c r="F209" t="s">
        <v>119</v>
      </c>
    </row>
    <row r="210" spans="1:6">
      <c r="A210" t="s">
        <v>188</v>
      </c>
      <c r="B210">
        <v>17</v>
      </c>
      <c r="C210" t="s">
        <v>173</v>
      </c>
      <c r="D210">
        <v>8557765</v>
      </c>
      <c r="E210" t="str">
        <f>IF($D210="","",VLOOKUP($D210,기준표!$B$4:$C$12,2,TRUE()))</f>
        <v>9단계</v>
      </c>
      <c r="F210" t="s">
        <v>119</v>
      </c>
    </row>
    <row r="211" spans="1:6">
      <c r="A211" t="s">
        <v>188</v>
      </c>
      <c r="B211">
        <v>18</v>
      </c>
      <c r="C211" t="s">
        <v>185</v>
      </c>
      <c r="D211">
        <v>8456880</v>
      </c>
      <c r="E211" t="str">
        <f>IF($D211="","",VLOOKUP($D211,기준표!$B$4:$C$12,2,TRUE()))</f>
        <v>9단계</v>
      </c>
      <c r="F211" t="s">
        <v>119</v>
      </c>
    </row>
    <row r="212" spans="1:6">
      <c r="A212" t="s">
        <v>188</v>
      </c>
      <c r="B212">
        <v>19</v>
      </c>
      <c r="C212" t="s">
        <v>126</v>
      </c>
      <c r="D212">
        <v>8407440</v>
      </c>
      <c r="E212" t="str">
        <f>IF($D212="","",VLOOKUP($D212,기준표!$B$4:$C$12,2,TRUE()))</f>
        <v>9단계</v>
      </c>
      <c r="F212" t="s">
        <v>119</v>
      </c>
    </row>
    <row r="213" spans="1:6">
      <c r="A213" t="s">
        <v>188</v>
      </c>
      <c r="B213">
        <v>20</v>
      </c>
      <c r="C213" t="s">
        <v>191</v>
      </c>
      <c r="D213">
        <v>8377680</v>
      </c>
      <c r="E213" t="str">
        <f>IF($D213="","",VLOOKUP($D213,기준표!$B$4:$C$12,2,TRUE()))</f>
        <v>9단계</v>
      </c>
      <c r="F213" t="s">
        <v>119</v>
      </c>
    </row>
    <row r="214" spans="1:6">
      <c r="A214" t="s">
        <v>188</v>
      </c>
      <c r="B214">
        <v>21</v>
      </c>
      <c r="C214" t="s">
        <v>167</v>
      </c>
      <c r="D214">
        <v>8272765</v>
      </c>
      <c r="E214" t="str">
        <f>IF($D214="","",VLOOKUP($D214,기준표!$B$4:$C$12,2,TRUE()))</f>
        <v>9단계</v>
      </c>
      <c r="F214" t="s">
        <v>119</v>
      </c>
    </row>
    <row r="215" spans="1:6">
      <c r="A215" t="s">
        <v>188</v>
      </c>
      <c r="B215">
        <v>22</v>
      </c>
      <c r="C215" t="s">
        <v>158</v>
      </c>
      <c r="D215">
        <v>8219176</v>
      </c>
      <c r="E215" t="str">
        <f>IF($D215="","",VLOOKUP($D215,기준표!$B$4:$C$12,2,TRUE()))</f>
        <v>9단계</v>
      </c>
      <c r="F215" t="s">
        <v>119</v>
      </c>
    </row>
    <row r="216" spans="1:6">
      <c r="A216" t="s">
        <v>188</v>
      </c>
      <c r="B216">
        <v>23</v>
      </c>
      <c r="C216" t="s">
        <v>82</v>
      </c>
      <c r="D216">
        <v>8103000</v>
      </c>
      <c r="E216" t="str">
        <f>IF($D216="","",VLOOKUP($D216,기준표!$B$4:$C$12,2,TRUE()))</f>
        <v>9단계</v>
      </c>
      <c r="F216" t="s">
        <v>119</v>
      </c>
    </row>
    <row r="217" spans="1:6">
      <c r="A217" t="s">
        <v>188</v>
      </c>
      <c r="B217">
        <v>24</v>
      </c>
      <c r="C217" t="s">
        <v>54</v>
      </c>
      <c r="D217">
        <v>8068890</v>
      </c>
      <c r="E217" t="str">
        <f>IF($D217="","",VLOOKUP($D217,기준표!$B$4:$C$12,2,TRUE()))</f>
        <v>9단계</v>
      </c>
      <c r="F217" t="s">
        <v>119</v>
      </c>
    </row>
    <row r="218" spans="1:6">
      <c r="A218" t="s">
        <v>188</v>
      </c>
      <c r="B218">
        <v>25</v>
      </c>
      <c r="C218" t="s">
        <v>63</v>
      </c>
      <c r="D218">
        <v>8008267</v>
      </c>
      <c r="E218" t="str">
        <f>IF($D218="","",VLOOKUP($D218,기준표!$B$4:$C$12,2,TRUE()))</f>
        <v>9단계</v>
      </c>
      <c r="F218" t="s">
        <v>119</v>
      </c>
    </row>
    <row r="219" spans="1:6">
      <c r="A219" t="s">
        <v>188</v>
      </c>
      <c r="B219">
        <v>26</v>
      </c>
      <c r="C219" t="s">
        <v>64</v>
      </c>
      <c r="D219">
        <v>7852440</v>
      </c>
      <c r="E219" t="str">
        <f>IF($D219="","",VLOOKUP($D219,기준표!$B$4:$C$12,2,TRUE()))</f>
        <v>9단계</v>
      </c>
      <c r="F219" t="s">
        <v>119</v>
      </c>
    </row>
    <row r="220" spans="1:6">
      <c r="A220" t="s">
        <v>188</v>
      </c>
      <c r="B220">
        <v>27</v>
      </c>
      <c r="C220" t="s">
        <v>160</v>
      </c>
      <c r="D220">
        <v>7740844</v>
      </c>
      <c r="E220" t="str">
        <f>IF($D220="","",VLOOKUP($D220,기준표!$B$4:$C$12,2,TRUE()))</f>
        <v>9단계</v>
      </c>
      <c r="F220" t="s">
        <v>119</v>
      </c>
    </row>
    <row r="221" spans="1:6">
      <c r="A221" t="s">
        <v>188</v>
      </c>
      <c r="B221">
        <v>28</v>
      </c>
      <c r="C221" t="s">
        <v>159</v>
      </c>
      <c r="D221">
        <v>7687615</v>
      </c>
      <c r="E221" t="str">
        <f>IF($D221="","",VLOOKUP($D221,기준표!$B$4:$C$12,2,TRUE()))</f>
        <v>9단계</v>
      </c>
      <c r="F221" t="s">
        <v>119</v>
      </c>
    </row>
    <row r="222" spans="1:6">
      <c r="A222" t="s">
        <v>188</v>
      </c>
      <c r="B222">
        <v>29</v>
      </c>
      <c r="C222" t="s">
        <v>23</v>
      </c>
      <c r="D222">
        <v>7675545</v>
      </c>
      <c r="E222" t="str">
        <f>IF($D222="","",VLOOKUP($D222,기준표!$B$4:$C$12,2,TRUE()))</f>
        <v>9단계</v>
      </c>
      <c r="F222" t="s">
        <v>119</v>
      </c>
    </row>
    <row r="223" spans="1:6">
      <c r="A223" t="s">
        <v>188</v>
      </c>
      <c r="B223">
        <v>30</v>
      </c>
      <c r="C223" t="s">
        <v>3</v>
      </c>
      <c r="D223">
        <v>7669710</v>
      </c>
      <c r="E223" t="str">
        <f>IF($D223="","",VLOOKUP($D223,기준표!$B$4:$C$12,2,TRUE()))</f>
        <v>9단계</v>
      </c>
      <c r="F223" t="s">
        <v>119</v>
      </c>
    </row>
    <row r="224" spans="1:6">
      <c r="A224" t="s">
        <v>188</v>
      </c>
      <c r="B224">
        <v>31</v>
      </c>
      <c r="C224" t="s">
        <v>157</v>
      </c>
      <c r="D224">
        <v>7575342</v>
      </c>
      <c r="E224" t="str">
        <f>IF($D224="","",VLOOKUP($D224,기준표!$B$4:$C$12,2,TRUE()))</f>
        <v>9단계</v>
      </c>
      <c r="F224" t="s">
        <v>119</v>
      </c>
    </row>
    <row r="225" spans="1:6">
      <c r="A225" t="s">
        <v>188</v>
      </c>
      <c r="B225">
        <v>32</v>
      </c>
      <c r="C225" t="s">
        <v>85</v>
      </c>
      <c r="D225">
        <v>7540560</v>
      </c>
      <c r="E225" t="str">
        <f>IF($D225="","",VLOOKUP($D225,기준표!$B$4:$C$12,2,TRUE()))</f>
        <v>9단계</v>
      </c>
      <c r="F225" t="s">
        <v>119</v>
      </c>
    </row>
    <row r="226" spans="1:6">
      <c r="A226" t="s">
        <v>188</v>
      </c>
      <c r="B226">
        <v>33</v>
      </c>
      <c r="C226" t="s">
        <v>171</v>
      </c>
      <c r="D226">
        <v>7477384</v>
      </c>
      <c r="E226" t="str">
        <f>IF($D226="","",VLOOKUP($D226,기준표!$B$4:$C$12,2,TRUE()))</f>
        <v>9단계</v>
      </c>
      <c r="F226" t="s">
        <v>119</v>
      </c>
    </row>
    <row r="227" spans="1:6">
      <c r="A227" t="s">
        <v>188</v>
      </c>
      <c r="B227">
        <v>34</v>
      </c>
      <c r="C227" t="s">
        <v>152</v>
      </c>
      <c r="D227">
        <v>7367990</v>
      </c>
      <c r="E227" t="str">
        <f>IF($D227="","",VLOOKUP($D227,기준표!$B$4:$C$12,2,TRUE()))</f>
        <v>9단계</v>
      </c>
      <c r="F227" t="s">
        <v>119</v>
      </c>
    </row>
    <row r="228" spans="1:6">
      <c r="A228" t="s">
        <v>188</v>
      </c>
      <c r="B228">
        <v>35</v>
      </c>
      <c r="C228" t="s">
        <v>156</v>
      </c>
      <c r="D228">
        <v>7353704</v>
      </c>
      <c r="E228" t="str">
        <f>IF($D228="","",VLOOKUP($D228,기준표!$B$4:$C$12,2,TRUE()))</f>
        <v>9단계</v>
      </c>
      <c r="F228" t="s">
        <v>119</v>
      </c>
    </row>
    <row r="229" spans="1:6">
      <c r="A229" t="s">
        <v>188</v>
      </c>
      <c r="B229">
        <v>36</v>
      </c>
      <c r="C229" t="s">
        <v>67</v>
      </c>
      <c r="D229">
        <v>7350060</v>
      </c>
      <c r="E229" t="str">
        <f>IF($D229="","",VLOOKUP($D229,기준표!$B$4:$C$12,2,TRUE()))</f>
        <v>9단계</v>
      </c>
      <c r="F229" t="s">
        <v>119</v>
      </c>
    </row>
    <row r="230" spans="1:6">
      <c r="A230" t="s">
        <v>188</v>
      </c>
      <c r="B230">
        <v>37</v>
      </c>
      <c r="C230" t="s">
        <v>165</v>
      </c>
      <c r="D230">
        <v>7338531</v>
      </c>
      <c r="E230" t="str">
        <f>IF($D230="","",VLOOKUP($D230,기준표!$B$4:$C$12,2,TRUE()))</f>
        <v>9단계</v>
      </c>
      <c r="F230" t="s">
        <v>119</v>
      </c>
    </row>
    <row r="231" spans="1:6">
      <c r="A231" t="s">
        <v>188</v>
      </c>
      <c r="B231">
        <v>38</v>
      </c>
      <c r="C231" t="s">
        <v>74</v>
      </c>
      <c r="D231">
        <v>7300980</v>
      </c>
      <c r="E231" t="str">
        <f>IF($D231="","",VLOOKUP($D231,기준표!$B$4:$C$12,2,TRUE()))</f>
        <v>9단계</v>
      </c>
      <c r="F231" t="s">
        <v>119</v>
      </c>
    </row>
    <row r="232" spans="1:6">
      <c r="A232" t="s">
        <v>188</v>
      </c>
      <c r="B232">
        <v>39</v>
      </c>
      <c r="C232" t="s">
        <v>129</v>
      </c>
      <c r="D232">
        <v>7249350</v>
      </c>
      <c r="E232" t="str">
        <f>IF($D232="","",VLOOKUP($D232,기준표!$B$4:$C$12,2,TRUE()))</f>
        <v>9단계</v>
      </c>
      <c r="F232" t="s">
        <v>119</v>
      </c>
    </row>
    <row r="233" spans="1:6">
      <c r="A233" t="s">
        <v>188</v>
      </c>
      <c r="B233">
        <v>40</v>
      </c>
      <c r="C233" t="s">
        <v>162</v>
      </c>
      <c r="D233">
        <v>7246574</v>
      </c>
      <c r="E233" t="str">
        <f>IF($D233="","",VLOOKUP($D233,기준표!$B$4:$C$12,2,TRUE()))</f>
        <v>9단계</v>
      </c>
      <c r="F233" t="s">
        <v>119</v>
      </c>
    </row>
    <row r="234" spans="1:6">
      <c r="A234" t="s">
        <v>188</v>
      </c>
      <c r="B234">
        <v>41</v>
      </c>
      <c r="C234" t="s">
        <v>155</v>
      </c>
      <c r="D234">
        <v>7242740</v>
      </c>
      <c r="E234" t="str">
        <f>IF($D234="","",VLOOKUP($D234,기준표!$B$4:$C$12,2,TRUE()))</f>
        <v>9단계</v>
      </c>
      <c r="F234" t="s">
        <v>119</v>
      </c>
    </row>
    <row r="235" spans="1:6">
      <c r="A235" t="s">
        <v>188</v>
      </c>
      <c r="B235">
        <v>42</v>
      </c>
      <c r="C235" t="s">
        <v>154</v>
      </c>
      <c r="D235">
        <v>7201380</v>
      </c>
      <c r="E235" t="str">
        <f>IF($D235="","",VLOOKUP($D235,기준표!$B$4:$C$12,2,TRUE()))</f>
        <v>9단계</v>
      </c>
      <c r="F235" t="s">
        <v>119</v>
      </c>
    </row>
    <row r="236" spans="1:6">
      <c r="A236" t="s">
        <v>188</v>
      </c>
      <c r="B236">
        <v>43</v>
      </c>
      <c r="C236" t="s">
        <v>123</v>
      </c>
      <c r="D236">
        <v>7195830</v>
      </c>
      <c r="E236" t="str">
        <f>IF($D236="","",VLOOKUP($D236,기준표!$B$4:$C$12,2,TRUE()))</f>
        <v>9단계</v>
      </c>
      <c r="F236" t="s">
        <v>119</v>
      </c>
    </row>
    <row r="237" spans="1:6">
      <c r="A237" t="s">
        <v>188</v>
      </c>
      <c r="B237">
        <v>44</v>
      </c>
      <c r="C237" t="s">
        <v>192</v>
      </c>
      <c r="D237">
        <v>6258759</v>
      </c>
      <c r="E237" t="str">
        <f>IF($D237="","",VLOOKUP($D237,기준표!$B$4:$C$12,2,TRUE()))</f>
        <v>8단계</v>
      </c>
      <c r="F237" t="s">
        <v>119</v>
      </c>
    </row>
    <row r="238" spans="1:6">
      <c r="A238" t="s">
        <v>188</v>
      </c>
      <c r="B238">
        <v>45</v>
      </c>
      <c r="C238" t="s">
        <v>75</v>
      </c>
      <c r="D238">
        <v>6221310</v>
      </c>
      <c r="E238" t="str">
        <f>IF($D238="","",VLOOKUP($D238,기준표!$B$4:$C$12,2,TRUE()))</f>
        <v>8단계</v>
      </c>
      <c r="F238" t="s">
        <v>119</v>
      </c>
    </row>
    <row r="239" spans="1:6">
      <c r="A239" t="s">
        <v>188</v>
      </c>
      <c r="B239">
        <v>46</v>
      </c>
      <c r="C239" t="s">
        <v>80</v>
      </c>
      <c r="D239">
        <v>6102685</v>
      </c>
      <c r="E239" t="str">
        <f>IF($D239="","",VLOOKUP($D239,기준표!$B$4:$C$12,2,TRUE()))</f>
        <v>8단계</v>
      </c>
      <c r="F239" t="s">
        <v>119</v>
      </c>
    </row>
    <row r="240" spans="1:6">
      <c r="A240" t="s">
        <v>188</v>
      </c>
      <c r="B240">
        <v>47</v>
      </c>
      <c r="C240" t="s">
        <v>186</v>
      </c>
      <c r="D240">
        <v>5951789</v>
      </c>
      <c r="E240" t="str">
        <f>IF($D240="","",VLOOKUP($D240,기준표!$B$4:$C$12,2,TRUE()))</f>
        <v>8단계</v>
      </c>
      <c r="F240" t="s">
        <v>119</v>
      </c>
    </row>
    <row r="241" spans="1:6">
      <c r="A241" t="s">
        <v>188</v>
      </c>
      <c r="B241">
        <v>48</v>
      </c>
      <c r="C241" t="s">
        <v>65</v>
      </c>
      <c r="D241">
        <v>5923830</v>
      </c>
      <c r="E241" t="str">
        <f>IF($D241="","",VLOOKUP($D241,기준표!$B$4:$C$12,2,TRUE()))</f>
        <v>8단계</v>
      </c>
      <c r="F241" t="s">
        <v>119</v>
      </c>
    </row>
    <row r="242" spans="1:6">
      <c r="A242" t="s">
        <v>188</v>
      </c>
      <c r="B242">
        <v>49</v>
      </c>
      <c r="C242" t="s">
        <v>81</v>
      </c>
      <c r="D242">
        <v>5911835</v>
      </c>
      <c r="E242" t="str">
        <f>IF($D242="","",VLOOKUP($D242,기준표!$B$4:$C$12,2,TRUE()))</f>
        <v>8단계</v>
      </c>
      <c r="F242" t="s">
        <v>119</v>
      </c>
    </row>
    <row r="243" spans="1:6">
      <c r="A243" t="s">
        <v>188</v>
      </c>
      <c r="B243">
        <v>50</v>
      </c>
      <c r="C243" t="s">
        <v>79</v>
      </c>
      <c r="D243">
        <v>5606038</v>
      </c>
      <c r="E243" t="str">
        <f>IF($D243="","",VLOOKUP($D243,기준표!$B$4:$C$12,2,TRUE()))</f>
        <v>8단계</v>
      </c>
      <c r="F243" t="s">
        <v>119</v>
      </c>
    </row>
    <row r="244" spans="1:6">
      <c r="A244" t="s">
        <v>188</v>
      </c>
      <c r="B244">
        <v>51</v>
      </c>
      <c r="C244" t="s">
        <v>21</v>
      </c>
      <c r="D244">
        <v>5604660</v>
      </c>
      <c r="E244" t="str">
        <f>IF($D244="","",VLOOKUP($D244,기준표!$B$4:$C$12,2,TRUE()))</f>
        <v>8단계</v>
      </c>
      <c r="F244" t="s">
        <v>119</v>
      </c>
    </row>
    <row r="245" spans="1:6">
      <c r="A245" t="s">
        <v>188</v>
      </c>
      <c r="B245">
        <v>52</v>
      </c>
      <c r="C245" t="s">
        <v>170</v>
      </c>
      <c r="D245">
        <v>5462046</v>
      </c>
      <c r="E245" t="str">
        <f>IF($D245="","",VLOOKUP($D245,기준표!$B$4:$C$12,2,TRUE()))</f>
        <v>8단계</v>
      </c>
      <c r="F245" t="s">
        <v>119</v>
      </c>
    </row>
    <row r="246" spans="1:6">
      <c r="A246" t="s">
        <v>188</v>
      </c>
      <c r="B246">
        <v>53</v>
      </c>
      <c r="C246" t="s">
        <v>94</v>
      </c>
      <c r="D246">
        <v>5451559</v>
      </c>
      <c r="E246" t="str">
        <f>IF($D246="","",VLOOKUP($D246,기준표!$B$4:$C$12,2,TRUE()))</f>
        <v>8단계</v>
      </c>
      <c r="F246" t="s">
        <v>119</v>
      </c>
    </row>
    <row r="247" spans="1:6">
      <c r="A247" t="s">
        <v>188</v>
      </c>
      <c r="B247">
        <v>54</v>
      </c>
      <c r="C247" t="s">
        <v>136</v>
      </c>
      <c r="D247">
        <v>5388948</v>
      </c>
      <c r="E247" t="str">
        <f>IF($D247="","",VLOOKUP($D247,기준표!$B$4:$C$12,2,TRUE()))</f>
        <v>8단계</v>
      </c>
      <c r="F247" t="s">
        <v>119</v>
      </c>
    </row>
    <row r="248" spans="1:6">
      <c r="A248" t="s">
        <v>188</v>
      </c>
      <c r="B248">
        <v>55</v>
      </c>
      <c r="C248" t="s">
        <v>84</v>
      </c>
      <c r="D248">
        <v>5324970</v>
      </c>
      <c r="E248" t="str">
        <f>IF($D248="","",VLOOKUP($D248,기준표!$B$4:$C$12,2,TRUE()))</f>
        <v>8단계</v>
      </c>
      <c r="F248" t="s">
        <v>119</v>
      </c>
    </row>
    <row r="249" spans="1:6">
      <c r="A249" t="s">
        <v>188</v>
      </c>
      <c r="B249">
        <v>56</v>
      </c>
      <c r="C249" t="s">
        <v>169</v>
      </c>
      <c r="D249">
        <v>5248928</v>
      </c>
      <c r="E249" t="str">
        <f>IF($D249="","",VLOOKUP($D249,기준표!$B$4:$C$12,2,TRUE()))</f>
        <v>8단계</v>
      </c>
      <c r="F249" t="s">
        <v>119</v>
      </c>
    </row>
    <row r="250" spans="1:6">
      <c r="A250" t="s">
        <v>188</v>
      </c>
      <c r="B250">
        <v>57</v>
      </c>
      <c r="C250" t="s">
        <v>93</v>
      </c>
      <c r="D250">
        <v>5231384</v>
      </c>
      <c r="E250" t="str">
        <f>IF($D250="","",VLOOKUP($D250,기준표!$B$4:$C$12,2,TRUE()))</f>
        <v>8단계</v>
      </c>
      <c r="F250" t="s">
        <v>119</v>
      </c>
    </row>
    <row r="251" spans="1:6">
      <c r="A251" t="s">
        <v>188</v>
      </c>
      <c r="B251">
        <v>58</v>
      </c>
      <c r="C251" t="s">
        <v>177</v>
      </c>
      <c r="D251">
        <v>5222399</v>
      </c>
      <c r="E251" t="str">
        <f>IF($D251="","",VLOOKUP($D251,기준표!$B$4:$C$12,2,TRUE()))</f>
        <v>8단계</v>
      </c>
      <c r="F251" t="s">
        <v>119</v>
      </c>
    </row>
    <row r="252" spans="1:6">
      <c r="A252" t="s">
        <v>188</v>
      </c>
      <c r="B252">
        <v>59</v>
      </c>
      <c r="C252" t="s">
        <v>161</v>
      </c>
      <c r="D252">
        <v>5158000</v>
      </c>
      <c r="E252" t="str">
        <f>IF($D252="","",VLOOKUP($D252,기준표!$B$4:$C$12,2,TRUE()))</f>
        <v>8단계</v>
      </c>
      <c r="F252" t="s">
        <v>119</v>
      </c>
    </row>
    <row r="253" spans="1:6">
      <c r="A253" t="s">
        <v>188</v>
      </c>
      <c r="B253">
        <v>60</v>
      </c>
      <c r="C253" t="s">
        <v>127</v>
      </c>
      <c r="D253">
        <v>5148119</v>
      </c>
      <c r="E253" t="str">
        <f>IF($D253="","",VLOOKUP($D253,기준표!$B$4:$C$12,2,TRUE()))</f>
        <v>8단계</v>
      </c>
      <c r="F253" t="s">
        <v>119</v>
      </c>
    </row>
    <row r="254" spans="1:6">
      <c r="A254" t="s">
        <v>188</v>
      </c>
      <c r="B254">
        <v>61</v>
      </c>
      <c r="C254" t="s">
        <v>179</v>
      </c>
      <c r="D254">
        <v>5128226</v>
      </c>
      <c r="E254" t="str">
        <f>IF($D254="","",VLOOKUP($D254,기준표!$B$4:$C$12,2,TRUE()))</f>
        <v>8단계</v>
      </c>
      <c r="F254" t="s">
        <v>119</v>
      </c>
    </row>
    <row r="255" spans="1:6">
      <c r="A255" t="s">
        <v>188</v>
      </c>
      <c r="B255">
        <v>62</v>
      </c>
      <c r="C255" t="s">
        <v>175</v>
      </c>
      <c r="D255">
        <v>5070356</v>
      </c>
      <c r="E255" t="str">
        <f>IF($D255="","",VLOOKUP($D255,기준표!$B$4:$C$12,2,TRUE()))</f>
        <v>8단계</v>
      </c>
      <c r="F255" t="s">
        <v>119</v>
      </c>
    </row>
    <row r="256" spans="1:6">
      <c r="A256" t="s">
        <v>188</v>
      </c>
      <c r="B256">
        <v>63</v>
      </c>
      <c r="C256" t="s">
        <v>86</v>
      </c>
      <c r="D256">
        <v>4921023</v>
      </c>
      <c r="E256" t="str">
        <f>IF($D256="","",VLOOKUP($D256,기준표!$B$4:$C$12,2,TRUE()))</f>
        <v>8단계</v>
      </c>
      <c r="F256" t="s">
        <v>119</v>
      </c>
    </row>
    <row r="257" spans="1:6">
      <c r="A257" t="s">
        <v>188</v>
      </c>
      <c r="B257">
        <v>64</v>
      </c>
      <c r="C257" t="s">
        <v>181</v>
      </c>
      <c r="D257">
        <v>4800940</v>
      </c>
      <c r="E257" t="str">
        <f>IF($D257="","",VLOOKUP($D257,기준표!$B$4:$C$12,2,TRUE()))</f>
        <v>8단계</v>
      </c>
      <c r="F257" t="s">
        <v>119</v>
      </c>
    </row>
    <row r="258" spans="1:6">
      <c r="A258" t="s">
        <v>188</v>
      </c>
      <c r="B258">
        <v>65</v>
      </c>
      <c r="C258" t="s">
        <v>104</v>
      </c>
      <c r="D258">
        <v>4720974</v>
      </c>
      <c r="E258" t="str">
        <f>IF($D258="","",VLOOKUP($D258,기준표!$B$4:$C$12,2,TRUE()))</f>
        <v>8단계</v>
      </c>
      <c r="F258" t="s">
        <v>119</v>
      </c>
    </row>
    <row r="259" spans="1:6">
      <c r="A259" t="s">
        <v>188</v>
      </c>
      <c r="B259">
        <v>66</v>
      </c>
      <c r="C259" t="s">
        <v>100</v>
      </c>
      <c r="D259">
        <v>4470150</v>
      </c>
      <c r="E259" t="str">
        <f>IF($D259="","",VLOOKUP($D259,기준표!$B$4:$C$12,2,TRUE()))</f>
        <v>8단계</v>
      </c>
      <c r="F259" t="s">
        <v>119</v>
      </c>
    </row>
    <row r="260" spans="1:6">
      <c r="A260" t="s">
        <v>188</v>
      </c>
      <c r="B260">
        <v>67</v>
      </c>
      <c r="C260" t="s">
        <v>193</v>
      </c>
      <c r="D260">
        <v>4444320</v>
      </c>
      <c r="E260" t="str">
        <f>IF($D260="","",VLOOKUP($D260,기준표!$B$4:$C$12,2,TRUE()))</f>
        <v>8단계</v>
      </c>
      <c r="F260" t="s">
        <v>119</v>
      </c>
    </row>
    <row r="261" spans="1:6">
      <c r="A261" t="s">
        <v>188</v>
      </c>
      <c r="B261">
        <v>68</v>
      </c>
      <c r="C261" t="s">
        <v>106</v>
      </c>
      <c r="D261">
        <v>4425797</v>
      </c>
      <c r="E261" t="str">
        <f>IF($D261="","",VLOOKUP($D261,기준표!$B$4:$C$12,2,TRUE()))</f>
        <v>8단계</v>
      </c>
      <c r="F261" t="s">
        <v>119</v>
      </c>
    </row>
    <row r="262" spans="1:6">
      <c r="A262" t="s">
        <v>188</v>
      </c>
      <c r="B262">
        <v>69</v>
      </c>
      <c r="C262" t="s">
        <v>172</v>
      </c>
      <c r="D262">
        <v>4358255</v>
      </c>
      <c r="E262" t="str">
        <f>IF($D262="","",VLOOKUP($D262,기준표!$B$4:$C$12,2,TRUE()))</f>
        <v>8단계</v>
      </c>
      <c r="F262" t="s">
        <v>119</v>
      </c>
    </row>
    <row r="263" spans="1:6">
      <c r="A263" t="s">
        <v>188</v>
      </c>
      <c r="B263">
        <v>70</v>
      </c>
      <c r="C263" t="s">
        <v>78</v>
      </c>
      <c r="D263">
        <v>4309185</v>
      </c>
      <c r="E263" t="str">
        <f>IF($D263="","",VLOOKUP($D263,기준표!$B$4:$C$12,2,TRUE()))</f>
        <v>8단계</v>
      </c>
      <c r="F263" t="s">
        <v>119</v>
      </c>
    </row>
    <row r="264" spans="1:6">
      <c r="A264" t="s">
        <v>188</v>
      </c>
      <c r="B264">
        <v>71</v>
      </c>
      <c r="C264" t="s">
        <v>105</v>
      </c>
      <c r="D264">
        <v>4204995</v>
      </c>
      <c r="E264" t="str">
        <f>IF($D264="","",VLOOKUP($D264,기준표!$B$4:$C$12,2,TRUE()))</f>
        <v>8단계</v>
      </c>
      <c r="F264" t="s">
        <v>119</v>
      </c>
    </row>
    <row r="265" spans="1:6">
      <c r="A265" t="s">
        <v>188</v>
      </c>
      <c r="B265">
        <v>72</v>
      </c>
      <c r="C265" t="s">
        <v>178</v>
      </c>
      <c r="D265">
        <v>3977402</v>
      </c>
      <c r="E265" t="str">
        <f>IF($D265="","",VLOOKUP($D265,기준표!$B$4:$C$12,2,TRUE()))</f>
        <v>8단계</v>
      </c>
      <c r="F265" t="s">
        <v>119</v>
      </c>
    </row>
    <row r="266" spans="1:6">
      <c r="A266" t="s">
        <v>188</v>
      </c>
      <c r="B266">
        <v>73</v>
      </c>
      <c r="C266" t="s">
        <v>164</v>
      </c>
      <c r="D266">
        <v>3951929</v>
      </c>
      <c r="E266" t="str">
        <f>IF($D266="","",VLOOKUP($D266,기준표!$B$4:$C$12,2,TRUE()))</f>
        <v>8단계</v>
      </c>
      <c r="F266" t="s">
        <v>119</v>
      </c>
    </row>
    <row r="267" spans="1:6">
      <c r="A267" t="s">
        <v>188</v>
      </c>
      <c r="B267">
        <v>74</v>
      </c>
      <c r="C267" t="s">
        <v>11</v>
      </c>
      <c r="D267">
        <v>3925200</v>
      </c>
      <c r="E267" t="str">
        <f>IF($D267="","",VLOOKUP($D267,기준표!$B$4:$C$12,2,TRUE()))</f>
        <v>8단계</v>
      </c>
      <c r="F267" t="s">
        <v>119</v>
      </c>
    </row>
    <row r="268" spans="1:6">
      <c r="A268" t="s">
        <v>188</v>
      </c>
      <c r="B268">
        <v>75</v>
      </c>
      <c r="C268" t="s">
        <v>71</v>
      </c>
      <c r="D268">
        <v>3703350</v>
      </c>
      <c r="E268" t="str">
        <f>IF($D268="","",VLOOKUP($D268,기준표!$B$4:$C$12,2,TRUE()))</f>
        <v>8단계</v>
      </c>
      <c r="F268" t="s">
        <v>119</v>
      </c>
    </row>
    <row r="269" spans="1:6">
      <c r="A269" t="s">
        <v>188</v>
      </c>
      <c r="B269">
        <v>76</v>
      </c>
      <c r="C269" t="s">
        <v>92</v>
      </c>
      <c r="D269">
        <v>3614850</v>
      </c>
      <c r="E269" t="str">
        <f>IF($D269="","",VLOOKUP($D269,기준표!$B$4:$C$12,2,TRUE()))</f>
        <v>8단계</v>
      </c>
      <c r="F269" t="s">
        <v>119</v>
      </c>
    </row>
    <row r="270" spans="1:6">
      <c r="A270" t="s">
        <v>188</v>
      </c>
      <c r="B270">
        <v>77</v>
      </c>
      <c r="C270" t="s">
        <v>102</v>
      </c>
      <c r="D270">
        <v>3611485</v>
      </c>
      <c r="E270" t="str">
        <f>IF($D270="","",VLOOKUP($D270,기준표!$B$4:$C$12,2,TRUE()))</f>
        <v>8단계</v>
      </c>
      <c r="F270" t="s">
        <v>119</v>
      </c>
    </row>
    <row r="271" spans="1:6">
      <c r="A271" t="s">
        <v>188</v>
      </c>
      <c r="B271">
        <v>78</v>
      </c>
      <c r="C271" t="s">
        <v>12</v>
      </c>
      <c r="D271">
        <v>3367383</v>
      </c>
      <c r="E271" t="str">
        <f>IF($D271="","",VLOOKUP($D271,기준표!$B$4:$C$12,2,TRUE()))</f>
        <v>8단계</v>
      </c>
      <c r="F271" t="s">
        <v>119</v>
      </c>
    </row>
    <row r="272" spans="1:6">
      <c r="A272" t="s">
        <v>188</v>
      </c>
      <c r="B272">
        <v>79</v>
      </c>
      <c r="C272" t="s">
        <v>96</v>
      </c>
      <c r="D272">
        <v>3361505</v>
      </c>
      <c r="E272" t="str">
        <f>IF($D272="","",VLOOKUP($D272,기준표!$B$4:$C$12,2,TRUE()))</f>
        <v>8단계</v>
      </c>
      <c r="F272" t="s">
        <v>119</v>
      </c>
    </row>
    <row r="273" spans="1:6">
      <c r="A273" t="s">
        <v>188</v>
      </c>
      <c r="B273">
        <v>80</v>
      </c>
      <c r="C273" t="s">
        <v>99</v>
      </c>
      <c r="D273">
        <v>3297148</v>
      </c>
      <c r="E273" t="str">
        <f>IF($D273="","",VLOOKUP($D273,기준표!$B$4:$C$12,2,TRUE()))</f>
        <v>8단계</v>
      </c>
      <c r="F273" t="s">
        <v>119</v>
      </c>
    </row>
    <row r="274" spans="1:6">
      <c r="A274" t="s">
        <v>188</v>
      </c>
      <c r="B274">
        <v>81</v>
      </c>
      <c r="C274" t="s">
        <v>187</v>
      </c>
      <c r="D274">
        <v>3100305</v>
      </c>
      <c r="E274" t="str">
        <f>IF($D274="","",VLOOKUP($D274,기준표!$B$4:$C$12,2,TRUE()))</f>
        <v>8단계</v>
      </c>
      <c r="F274" t="s">
        <v>119</v>
      </c>
    </row>
    <row r="275" spans="1:6">
      <c r="A275" t="s">
        <v>188</v>
      </c>
      <c r="B275">
        <v>82</v>
      </c>
      <c r="C275" t="s">
        <v>180</v>
      </c>
      <c r="D275">
        <v>2989108</v>
      </c>
      <c r="E275" t="str">
        <f>IF($D275="","",VLOOKUP($D275,기준표!$B$4:$C$12,2,TRUE()))</f>
        <v>8단계</v>
      </c>
      <c r="F275" t="s">
        <v>119</v>
      </c>
    </row>
    <row r="276" spans="1:6">
      <c r="A276" t="s">
        <v>188</v>
      </c>
      <c r="B276">
        <v>83</v>
      </c>
      <c r="C276" t="s">
        <v>122</v>
      </c>
      <c r="D276">
        <v>2809200</v>
      </c>
      <c r="E276" t="str">
        <f>IF($D276="","",VLOOKUP($D276,기준표!$B$4:$C$12,2,TRUE()))</f>
        <v>8단계</v>
      </c>
      <c r="F276" t="s">
        <v>119</v>
      </c>
    </row>
    <row r="277" spans="1:6">
      <c r="A277" t="s">
        <v>188</v>
      </c>
      <c r="B277">
        <v>84</v>
      </c>
      <c r="C277" t="s">
        <v>113</v>
      </c>
      <c r="D277">
        <v>2734995</v>
      </c>
      <c r="E277" t="str">
        <f>IF($D277="","",VLOOKUP($D277,기준표!$B$4:$C$12,2,TRUE()))</f>
        <v>8단계</v>
      </c>
      <c r="F277" t="s">
        <v>119</v>
      </c>
    </row>
    <row r="278" spans="1:6">
      <c r="A278" t="s">
        <v>188</v>
      </c>
      <c r="B278">
        <v>85</v>
      </c>
      <c r="C278" t="s">
        <v>135</v>
      </c>
      <c r="D278">
        <v>2599632</v>
      </c>
      <c r="E278" t="str">
        <f>IF($D278="","",VLOOKUP($D278,기준표!$B$4:$C$12,2,TRUE()))</f>
        <v>7단계</v>
      </c>
      <c r="F278" t="s">
        <v>119</v>
      </c>
    </row>
    <row r="279" spans="1:6">
      <c r="A279" t="s">
        <v>188</v>
      </c>
      <c r="B279">
        <v>86</v>
      </c>
      <c r="C279" t="s">
        <v>194</v>
      </c>
      <c r="D279">
        <v>2520416</v>
      </c>
      <c r="E279" t="str">
        <f>IF($D279="","",VLOOKUP($D279,기준표!$B$4:$C$12,2,TRUE()))</f>
        <v>7단계</v>
      </c>
      <c r="F279" t="s">
        <v>119</v>
      </c>
    </row>
    <row r="280" spans="1:6">
      <c r="A280" t="s">
        <v>188</v>
      </c>
      <c r="B280">
        <v>87</v>
      </c>
      <c r="C280" t="s">
        <v>182</v>
      </c>
      <c r="D280">
        <v>2508239</v>
      </c>
      <c r="E280" t="str">
        <f>IF($D280="","",VLOOKUP($D280,기준표!$B$4:$C$12,2,TRUE()))</f>
        <v>7단계</v>
      </c>
      <c r="F280" t="s">
        <v>119</v>
      </c>
    </row>
    <row r="281" spans="1:6">
      <c r="A281" t="s">
        <v>188</v>
      </c>
      <c r="B281">
        <v>88</v>
      </c>
      <c r="C281" t="s">
        <v>19</v>
      </c>
      <c r="D281">
        <v>2307445</v>
      </c>
      <c r="E281" t="str">
        <f>IF($D281="","",VLOOKUP($D281,기준표!$B$4:$C$12,2,TRUE()))</f>
        <v>7단계</v>
      </c>
      <c r="F281" t="s">
        <v>119</v>
      </c>
    </row>
    <row r="282" spans="1:6">
      <c r="A282" t="s">
        <v>188</v>
      </c>
      <c r="B282">
        <v>89</v>
      </c>
      <c r="C282" t="s">
        <v>109</v>
      </c>
      <c r="D282">
        <v>2187434</v>
      </c>
      <c r="E282" t="str">
        <f>IF($D282="","",VLOOKUP($D282,기준표!$B$4:$C$12,2,TRUE()))</f>
        <v>6단계</v>
      </c>
      <c r="F282" t="s">
        <v>119</v>
      </c>
    </row>
    <row r="283" spans="1:6">
      <c r="A283" t="s">
        <v>188</v>
      </c>
      <c r="B283">
        <v>90</v>
      </c>
      <c r="C283" t="s">
        <v>103</v>
      </c>
      <c r="D283">
        <v>2175900</v>
      </c>
      <c r="E283" t="str">
        <f>IF($D283="","",VLOOKUP($D283,기준표!$B$4:$C$12,2,TRUE()))</f>
        <v>6단계</v>
      </c>
      <c r="F283" t="s">
        <v>119</v>
      </c>
    </row>
    <row r="284" spans="1:6">
      <c r="A284" t="s">
        <v>188</v>
      </c>
      <c r="B284">
        <v>91</v>
      </c>
      <c r="C284" t="s">
        <v>110</v>
      </c>
      <c r="D284">
        <v>1841150</v>
      </c>
      <c r="E284" t="str">
        <f>IF($D284="","",VLOOKUP($D284,기준표!$B$4:$C$12,2,TRUE()))</f>
        <v>6단계</v>
      </c>
      <c r="F284" t="s">
        <v>119</v>
      </c>
    </row>
    <row r="285" spans="1:6">
      <c r="A285" t="s">
        <v>188</v>
      </c>
      <c r="B285">
        <v>92</v>
      </c>
      <c r="C285" t="s">
        <v>77</v>
      </c>
      <c r="D285">
        <v>1823490</v>
      </c>
      <c r="E285" t="str">
        <f>IF($D285="","",VLOOKUP($D285,기준표!$B$4:$C$12,2,TRUE()))</f>
        <v>6단계</v>
      </c>
      <c r="F285" t="s">
        <v>119</v>
      </c>
    </row>
    <row r="286" spans="1:6">
      <c r="A286" t="s">
        <v>188</v>
      </c>
      <c r="B286">
        <v>93</v>
      </c>
      <c r="C286" t="s">
        <v>101</v>
      </c>
      <c r="D286">
        <v>1724853</v>
      </c>
      <c r="E286" t="str">
        <f>IF($D286="","",VLOOKUP($D286,기준표!$B$4:$C$12,2,TRUE()))</f>
        <v>6단계</v>
      </c>
      <c r="F286" t="s">
        <v>119</v>
      </c>
    </row>
    <row r="287" spans="1:6">
      <c r="A287" t="s">
        <v>188</v>
      </c>
      <c r="B287">
        <v>94</v>
      </c>
      <c r="C287" t="s">
        <v>111</v>
      </c>
      <c r="D287">
        <v>1374109</v>
      </c>
      <c r="E287" t="str">
        <f>IF($D287="","",VLOOKUP($D287,기준표!$B$4:$C$12,2,TRUE()))</f>
        <v>6단계</v>
      </c>
      <c r="F287" t="s">
        <v>119</v>
      </c>
    </row>
    <row r="288" spans="1:6">
      <c r="A288" t="s">
        <v>188</v>
      </c>
      <c r="B288">
        <v>95</v>
      </c>
      <c r="C288" t="s">
        <v>139</v>
      </c>
      <c r="D288">
        <v>797361</v>
      </c>
      <c r="E288" t="str">
        <f>IF($D288="","",VLOOKUP($D288,기준표!$B$4:$C$12,2,TRUE()))</f>
        <v>5단계</v>
      </c>
      <c r="F288" t="s">
        <v>119</v>
      </c>
    </row>
    <row r="289" spans="1:6">
      <c r="A289" t="s">
        <v>195</v>
      </c>
      <c r="B289">
        <v>1</v>
      </c>
      <c r="C289" t="s">
        <v>118</v>
      </c>
      <c r="D289">
        <v>25983535</v>
      </c>
      <c r="E289" t="str">
        <f>IF($D289="","",VLOOKUP($D289,기준표!$B$4:$C$12,2,TRUE()))</f>
        <v>9단계</v>
      </c>
      <c r="F289" t="s">
        <v>119</v>
      </c>
    </row>
    <row r="290" spans="1:6">
      <c r="A290" t="s">
        <v>195</v>
      </c>
      <c r="B290">
        <v>2</v>
      </c>
      <c r="C290" t="s">
        <v>18</v>
      </c>
      <c r="D290">
        <v>23536457</v>
      </c>
      <c r="E290" t="str">
        <f>IF($D290="","",VLOOKUP($D290,기준표!$B$4:$C$12,2,TRUE()))</f>
        <v>9단계</v>
      </c>
      <c r="F290" t="s">
        <v>119</v>
      </c>
    </row>
    <row r="291" spans="1:6">
      <c r="A291" t="s">
        <v>195</v>
      </c>
      <c r="B291">
        <v>3</v>
      </c>
      <c r="C291" t="s">
        <v>51</v>
      </c>
      <c r="D291">
        <v>20347542</v>
      </c>
      <c r="E291" t="str">
        <f>IF($D291="","",VLOOKUP($D291,기준표!$B$4:$C$12,2,TRUE()))</f>
        <v>9단계</v>
      </c>
      <c r="F291" t="s">
        <v>119</v>
      </c>
    </row>
    <row r="292" spans="1:6">
      <c r="A292" t="s">
        <v>195</v>
      </c>
      <c r="B292">
        <v>4</v>
      </c>
      <c r="C292" t="s">
        <v>185</v>
      </c>
      <c r="D292">
        <v>18712040</v>
      </c>
      <c r="E292" t="str">
        <f>IF($D292="","",VLOOKUP($D292,기준표!$B$4:$C$12,2,TRUE()))</f>
        <v>9단계</v>
      </c>
      <c r="F292" t="s">
        <v>119</v>
      </c>
    </row>
    <row r="293" spans="1:6">
      <c r="A293" t="s">
        <v>195</v>
      </c>
      <c r="B293">
        <v>5</v>
      </c>
      <c r="C293" t="s">
        <v>16</v>
      </c>
      <c r="D293">
        <v>16890286</v>
      </c>
      <c r="E293" t="str">
        <f>IF($D293="","",VLOOKUP($D293,기준표!$B$4:$C$12,2,TRUE()))</f>
        <v>9단계</v>
      </c>
      <c r="F293" t="s">
        <v>119</v>
      </c>
    </row>
    <row r="294" spans="1:6">
      <c r="A294" t="s">
        <v>195</v>
      </c>
      <c r="B294">
        <v>6</v>
      </c>
      <c r="C294" t="s">
        <v>69</v>
      </c>
      <c r="D294">
        <v>15198870</v>
      </c>
      <c r="E294" t="str">
        <f>IF($D294="","",VLOOKUP($D294,기준표!$B$4:$C$12,2,TRUE()))</f>
        <v>9단계</v>
      </c>
      <c r="F294" t="s">
        <v>119</v>
      </c>
    </row>
    <row r="295" spans="1:6">
      <c r="A295" t="s">
        <v>195</v>
      </c>
      <c r="B295">
        <v>7</v>
      </c>
      <c r="C295" t="s">
        <v>23</v>
      </c>
      <c r="D295">
        <v>14847891</v>
      </c>
      <c r="E295" t="str">
        <f>IF($D295="","",VLOOKUP($D295,기준표!$B$4:$C$12,2,TRUE()))</f>
        <v>9단계</v>
      </c>
      <c r="F295" t="s">
        <v>119</v>
      </c>
    </row>
    <row r="296" spans="1:6">
      <c r="A296" t="s">
        <v>195</v>
      </c>
      <c r="B296">
        <v>8</v>
      </c>
      <c r="C296" t="s">
        <v>12</v>
      </c>
      <c r="D296">
        <v>11700909</v>
      </c>
      <c r="E296" t="str">
        <f>IF($D296="","",VLOOKUP($D296,기준표!$B$4:$C$12,2,TRUE()))</f>
        <v>9단계</v>
      </c>
      <c r="F296" t="s">
        <v>119</v>
      </c>
    </row>
    <row r="297" spans="1:6">
      <c r="A297" t="s">
        <v>195</v>
      </c>
      <c r="B297">
        <v>9</v>
      </c>
      <c r="C297" t="s">
        <v>161</v>
      </c>
      <c r="D297">
        <v>10477646</v>
      </c>
      <c r="E297" t="str">
        <f>IF($D297="","",VLOOKUP($D297,기준표!$B$4:$C$12,2,TRUE()))</f>
        <v>9단계</v>
      </c>
      <c r="F297" t="s">
        <v>119</v>
      </c>
    </row>
    <row r="298" spans="1:6">
      <c r="A298" t="s">
        <v>195</v>
      </c>
      <c r="B298">
        <v>10</v>
      </c>
      <c r="C298" t="s">
        <v>64</v>
      </c>
      <c r="D298">
        <v>10296692</v>
      </c>
      <c r="E298" t="str">
        <f>IF($D298="","",VLOOKUP($D298,기준표!$B$4:$C$12,2,TRUE()))</f>
        <v>9단계</v>
      </c>
      <c r="F298" t="s">
        <v>119</v>
      </c>
    </row>
    <row r="299" spans="1:6">
      <c r="A299" t="s">
        <v>195</v>
      </c>
      <c r="B299">
        <v>11</v>
      </c>
      <c r="C299" t="s">
        <v>167</v>
      </c>
      <c r="D299">
        <v>10225079</v>
      </c>
      <c r="E299" t="str">
        <f>IF($D299="","",VLOOKUP($D299,기준표!$B$4:$C$12,2,TRUE()))</f>
        <v>9단계</v>
      </c>
      <c r="F299" t="s">
        <v>119</v>
      </c>
    </row>
    <row r="300" spans="1:6">
      <c r="A300" t="s">
        <v>195</v>
      </c>
      <c r="B300">
        <v>12</v>
      </c>
      <c r="C300" t="s">
        <v>193</v>
      </c>
      <c r="D300">
        <v>9944096</v>
      </c>
      <c r="E300" t="str">
        <f>IF($D300="","",VLOOKUP($D300,기준표!$B$4:$C$12,2,TRUE()))</f>
        <v>9단계</v>
      </c>
      <c r="F300" t="s">
        <v>119</v>
      </c>
    </row>
    <row r="301" spans="1:6">
      <c r="A301" t="s">
        <v>195</v>
      </c>
      <c r="B301">
        <v>13</v>
      </c>
      <c r="C301" t="s">
        <v>171</v>
      </c>
      <c r="D301">
        <v>9653841</v>
      </c>
      <c r="E301" t="str">
        <f>IF($D301="","",VLOOKUP($D301,기준표!$B$4:$C$12,2,TRUE()))</f>
        <v>9단계</v>
      </c>
      <c r="F301" t="s">
        <v>119</v>
      </c>
    </row>
    <row r="302" spans="1:6">
      <c r="A302" t="s">
        <v>195</v>
      </c>
      <c r="B302">
        <v>14</v>
      </c>
      <c r="C302" t="s">
        <v>152</v>
      </c>
      <c r="D302">
        <v>9548301</v>
      </c>
      <c r="E302" t="str">
        <f>IF($D302="","",VLOOKUP($D302,기준표!$B$4:$C$12,2,TRUE()))</f>
        <v>9단계</v>
      </c>
      <c r="F302" t="s">
        <v>119</v>
      </c>
    </row>
    <row r="303" spans="1:6">
      <c r="A303" t="s">
        <v>195</v>
      </c>
      <c r="B303">
        <v>15</v>
      </c>
      <c r="C303" t="s">
        <v>162</v>
      </c>
      <c r="D303">
        <v>9509340</v>
      </c>
      <c r="E303" t="str">
        <f>IF($D303="","",VLOOKUP($D303,기준표!$B$4:$C$12,2,TRUE()))</f>
        <v>9단계</v>
      </c>
      <c r="F303" t="s">
        <v>119</v>
      </c>
    </row>
    <row r="304" spans="1:6">
      <c r="A304" t="s">
        <v>195</v>
      </c>
      <c r="B304">
        <v>16</v>
      </c>
      <c r="C304" t="s">
        <v>71</v>
      </c>
      <c r="D304">
        <v>9370096</v>
      </c>
      <c r="E304" t="str">
        <f>IF($D304="","",VLOOKUP($D304,기준표!$B$4:$C$12,2,TRUE()))</f>
        <v>9단계</v>
      </c>
      <c r="F304" t="s">
        <v>119</v>
      </c>
    </row>
    <row r="305" spans="1:6">
      <c r="A305" t="s">
        <v>195</v>
      </c>
      <c r="B305">
        <v>17</v>
      </c>
      <c r="C305" t="s">
        <v>61</v>
      </c>
      <c r="D305">
        <v>9056383</v>
      </c>
      <c r="E305" t="str">
        <f>IF($D305="","",VLOOKUP($D305,기준표!$B$4:$C$12,2,TRUE()))</f>
        <v>9단계</v>
      </c>
      <c r="F305" t="s">
        <v>119</v>
      </c>
    </row>
    <row r="306" spans="1:6">
      <c r="A306" t="s">
        <v>195</v>
      </c>
      <c r="B306">
        <v>18</v>
      </c>
      <c r="C306" t="s">
        <v>75</v>
      </c>
      <c r="D306">
        <v>8902605</v>
      </c>
      <c r="E306" t="str">
        <f>IF($D306="","",VLOOKUP($D306,기준표!$B$4:$C$12,2,TRUE()))</f>
        <v>9단계</v>
      </c>
      <c r="F306" t="s">
        <v>119</v>
      </c>
    </row>
    <row r="307" spans="1:6">
      <c r="A307" t="s">
        <v>195</v>
      </c>
      <c r="B307">
        <v>19</v>
      </c>
      <c r="C307" t="s">
        <v>153</v>
      </c>
      <c r="D307">
        <v>8866223</v>
      </c>
      <c r="E307" t="str">
        <f>IF($D307="","",VLOOKUP($D307,기준표!$B$4:$C$12,2,TRUE()))</f>
        <v>9단계</v>
      </c>
      <c r="F307" t="s">
        <v>119</v>
      </c>
    </row>
    <row r="308" spans="1:6">
      <c r="A308" t="s">
        <v>195</v>
      </c>
      <c r="B308">
        <v>20</v>
      </c>
      <c r="C308" t="s">
        <v>158</v>
      </c>
      <c r="D308">
        <v>8680092</v>
      </c>
      <c r="E308" t="str">
        <f>IF($D308="","",VLOOKUP($D308,기준표!$B$4:$C$12,2,TRUE()))</f>
        <v>9단계</v>
      </c>
      <c r="F308" t="s">
        <v>119</v>
      </c>
    </row>
    <row r="309" spans="1:6">
      <c r="A309" t="s">
        <v>195</v>
      </c>
      <c r="B309">
        <v>21</v>
      </c>
      <c r="C309" t="s">
        <v>194</v>
      </c>
      <c r="D309">
        <v>8679779</v>
      </c>
      <c r="E309" t="str">
        <f>IF($D309="","",VLOOKUP($D309,기준표!$B$4:$C$12,2,TRUE()))</f>
        <v>9단계</v>
      </c>
      <c r="F309" t="s">
        <v>119</v>
      </c>
    </row>
    <row r="310" spans="1:6">
      <c r="A310" t="s">
        <v>195</v>
      </c>
      <c r="B310">
        <v>22</v>
      </c>
      <c r="C310" t="s">
        <v>123</v>
      </c>
      <c r="D310">
        <v>8661580</v>
      </c>
      <c r="E310" t="str">
        <f>IF($D310="","",VLOOKUP($D310,기준표!$B$4:$C$12,2,TRUE()))</f>
        <v>9단계</v>
      </c>
      <c r="F310" t="s">
        <v>119</v>
      </c>
    </row>
    <row r="311" spans="1:6">
      <c r="A311" t="s">
        <v>195</v>
      </c>
      <c r="B311">
        <v>23</v>
      </c>
      <c r="C311" t="s">
        <v>73</v>
      </c>
      <c r="D311">
        <v>8331200</v>
      </c>
      <c r="E311" t="str">
        <f>IF($D311="","",VLOOKUP($D311,기준표!$B$4:$C$12,2,TRUE()))</f>
        <v>9단계</v>
      </c>
      <c r="F311" t="s">
        <v>119</v>
      </c>
    </row>
    <row r="312" spans="1:6">
      <c r="A312" t="s">
        <v>195</v>
      </c>
      <c r="B312">
        <v>24</v>
      </c>
      <c r="C312" t="s">
        <v>67</v>
      </c>
      <c r="D312">
        <v>8321450</v>
      </c>
      <c r="E312" t="str">
        <f>IF($D312="","",VLOOKUP($D312,기준표!$B$4:$C$12,2,TRUE()))</f>
        <v>9단계</v>
      </c>
      <c r="F312" t="s">
        <v>119</v>
      </c>
    </row>
    <row r="313" spans="1:6">
      <c r="A313" t="s">
        <v>195</v>
      </c>
      <c r="B313">
        <v>25</v>
      </c>
      <c r="C313" t="s">
        <v>92</v>
      </c>
      <c r="D313">
        <v>8282327</v>
      </c>
      <c r="E313" t="str">
        <f>IF($D313="","",VLOOKUP($D313,기준표!$B$4:$C$12,2,TRUE()))</f>
        <v>9단계</v>
      </c>
      <c r="F313" t="s">
        <v>119</v>
      </c>
    </row>
    <row r="314" spans="1:6">
      <c r="A314" t="s">
        <v>195</v>
      </c>
      <c r="B314">
        <v>26</v>
      </c>
      <c r="C314" t="s">
        <v>3</v>
      </c>
      <c r="D314">
        <v>8161686</v>
      </c>
      <c r="E314" t="str">
        <f>IF($D314="","",VLOOKUP($D314,기준표!$B$4:$C$12,2,TRUE()))</f>
        <v>9단계</v>
      </c>
      <c r="F314" t="s">
        <v>119</v>
      </c>
    </row>
    <row r="315" spans="1:6">
      <c r="A315" t="s">
        <v>195</v>
      </c>
      <c r="B315">
        <v>27</v>
      </c>
      <c r="C315" t="s">
        <v>94</v>
      </c>
      <c r="D315">
        <v>8072284</v>
      </c>
      <c r="E315" t="str">
        <f>IF($D315="","",VLOOKUP($D315,기준표!$B$4:$C$12,2,TRUE()))</f>
        <v>9단계</v>
      </c>
      <c r="F315" t="s">
        <v>119</v>
      </c>
    </row>
    <row r="316" spans="1:6">
      <c r="A316" t="s">
        <v>195</v>
      </c>
      <c r="B316">
        <v>28</v>
      </c>
      <c r="C316" t="s">
        <v>65</v>
      </c>
      <c r="D316">
        <v>7950553</v>
      </c>
      <c r="E316" t="str">
        <f>IF($D316="","",VLOOKUP($D316,기준표!$B$4:$C$12,2,TRUE()))</f>
        <v>9단계</v>
      </c>
      <c r="F316" t="s">
        <v>119</v>
      </c>
    </row>
    <row r="317" spans="1:6">
      <c r="A317" t="s">
        <v>195</v>
      </c>
      <c r="B317">
        <v>29</v>
      </c>
      <c r="C317" t="s">
        <v>86</v>
      </c>
      <c r="D317">
        <v>7804623</v>
      </c>
      <c r="E317" t="str">
        <f>IF($D317="","",VLOOKUP($D317,기준표!$B$4:$C$12,2,TRUE()))</f>
        <v>9단계</v>
      </c>
      <c r="F317" t="s">
        <v>119</v>
      </c>
    </row>
    <row r="318" spans="1:6">
      <c r="A318" t="s">
        <v>195</v>
      </c>
      <c r="B318">
        <v>30</v>
      </c>
      <c r="C318" t="s">
        <v>54</v>
      </c>
      <c r="D318">
        <v>7619453</v>
      </c>
      <c r="E318" t="str">
        <f>IF($D318="","",VLOOKUP($D318,기준표!$B$4:$C$12,2,TRUE()))</f>
        <v>9단계</v>
      </c>
      <c r="F318" t="s">
        <v>119</v>
      </c>
    </row>
    <row r="319" spans="1:6">
      <c r="A319" t="s">
        <v>195</v>
      </c>
      <c r="B319">
        <v>31</v>
      </c>
      <c r="C319" t="s">
        <v>174</v>
      </c>
      <c r="D319">
        <v>7600230</v>
      </c>
      <c r="E319" t="str">
        <f>IF($D319="","",VLOOKUP($D319,기준표!$B$4:$C$12,2,TRUE()))</f>
        <v>9단계</v>
      </c>
      <c r="F319" t="s">
        <v>119</v>
      </c>
    </row>
    <row r="320" spans="1:6">
      <c r="A320" t="s">
        <v>195</v>
      </c>
      <c r="B320">
        <v>32</v>
      </c>
      <c r="C320" t="s">
        <v>156</v>
      </c>
      <c r="D320">
        <v>7361998</v>
      </c>
      <c r="E320" t="str">
        <f>IF($D320="","",VLOOKUP($D320,기준표!$B$4:$C$12,2,TRUE()))</f>
        <v>9단계</v>
      </c>
      <c r="F320" t="s">
        <v>119</v>
      </c>
    </row>
    <row r="321" spans="1:6">
      <c r="A321" t="s">
        <v>195</v>
      </c>
      <c r="B321">
        <v>33</v>
      </c>
      <c r="C321" t="s">
        <v>74</v>
      </c>
      <c r="D321">
        <v>7229183</v>
      </c>
      <c r="E321" t="str">
        <f>IF($D321="","",VLOOKUP($D321,기준표!$B$4:$C$12,2,TRUE()))</f>
        <v>9단계</v>
      </c>
      <c r="F321" t="s">
        <v>119</v>
      </c>
    </row>
    <row r="322" spans="1:6">
      <c r="A322" t="s">
        <v>195</v>
      </c>
      <c r="B322">
        <v>34</v>
      </c>
      <c r="C322" t="s">
        <v>129</v>
      </c>
      <c r="D322">
        <v>7220060</v>
      </c>
      <c r="E322" t="str">
        <f>IF($D322="","",VLOOKUP($D322,기준표!$B$4:$C$12,2,TRUE()))</f>
        <v>9단계</v>
      </c>
      <c r="F322" t="s">
        <v>119</v>
      </c>
    </row>
    <row r="323" spans="1:6">
      <c r="A323" t="s">
        <v>195</v>
      </c>
      <c r="B323">
        <v>35</v>
      </c>
      <c r="C323" t="s">
        <v>82</v>
      </c>
      <c r="D323">
        <v>7218424</v>
      </c>
      <c r="E323" t="str">
        <f>IF($D323="","",VLOOKUP($D323,기준표!$B$4:$C$12,2,TRUE()))</f>
        <v>9단계</v>
      </c>
      <c r="F323" t="s">
        <v>119</v>
      </c>
    </row>
    <row r="324" spans="1:6">
      <c r="A324" t="s">
        <v>195</v>
      </c>
      <c r="B324">
        <v>36</v>
      </c>
      <c r="C324" t="s">
        <v>56</v>
      </c>
      <c r="D324">
        <v>7200376</v>
      </c>
      <c r="E324" t="str">
        <f>IF($D324="","",VLOOKUP($D324,기준표!$B$4:$C$12,2,TRUE()))</f>
        <v>9단계</v>
      </c>
      <c r="F324" t="s">
        <v>119</v>
      </c>
    </row>
    <row r="325" spans="1:6">
      <c r="A325" t="s">
        <v>195</v>
      </c>
      <c r="B325">
        <v>37</v>
      </c>
      <c r="C325" t="s">
        <v>126</v>
      </c>
      <c r="D325">
        <v>7196129</v>
      </c>
      <c r="E325" t="str">
        <f>IF($D325="","",VLOOKUP($D325,기준표!$B$4:$C$12,2,TRUE()))</f>
        <v>9단계</v>
      </c>
      <c r="F325" t="s">
        <v>119</v>
      </c>
    </row>
    <row r="326" spans="1:6">
      <c r="A326" t="s">
        <v>195</v>
      </c>
      <c r="B326">
        <v>38</v>
      </c>
      <c r="C326" t="s">
        <v>160</v>
      </c>
      <c r="D326">
        <v>7154566</v>
      </c>
      <c r="E326" t="str">
        <f>IF($D326="","",VLOOKUP($D326,기준표!$B$4:$C$12,2,TRUE()))</f>
        <v>8단계</v>
      </c>
      <c r="F326" t="s">
        <v>119</v>
      </c>
    </row>
    <row r="327" spans="1:6">
      <c r="A327" t="s">
        <v>195</v>
      </c>
      <c r="B327">
        <v>39</v>
      </c>
      <c r="C327" t="s">
        <v>178</v>
      </c>
      <c r="D327">
        <v>6957929</v>
      </c>
      <c r="E327" t="str">
        <f>IF($D327="","",VLOOKUP($D327,기준표!$B$4:$C$12,2,TRUE()))</f>
        <v>8단계</v>
      </c>
      <c r="F327" t="s">
        <v>119</v>
      </c>
    </row>
    <row r="328" spans="1:6">
      <c r="A328" t="s">
        <v>195</v>
      </c>
      <c r="B328">
        <v>40</v>
      </c>
      <c r="C328" t="s">
        <v>63</v>
      </c>
      <c r="D328">
        <v>5888801</v>
      </c>
      <c r="E328" t="str">
        <f>IF($D328="","",VLOOKUP($D328,기준표!$B$4:$C$12,2,TRUE()))</f>
        <v>8단계</v>
      </c>
      <c r="F328" t="s">
        <v>119</v>
      </c>
    </row>
    <row r="329" spans="1:6">
      <c r="A329" t="s">
        <v>195</v>
      </c>
      <c r="B329">
        <v>41</v>
      </c>
      <c r="C329" t="s">
        <v>130</v>
      </c>
      <c r="D329">
        <v>5881182</v>
      </c>
      <c r="E329" t="str">
        <f>IF($D329="","",VLOOKUP($D329,기준표!$B$4:$C$12,2,TRUE()))</f>
        <v>8단계</v>
      </c>
      <c r="F329" t="s">
        <v>119</v>
      </c>
    </row>
    <row r="330" spans="1:6">
      <c r="A330" t="s">
        <v>195</v>
      </c>
      <c r="B330">
        <v>42</v>
      </c>
      <c r="C330" t="s">
        <v>84</v>
      </c>
      <c r="D330">
        <v>5362150</v>
      </c>
      <c r="E330" t="str">
        <f>IF($D330="","",VLOOKUP($D330,기준표!$B$4:$C$12,2,TRUE()))</f>
        <v>8단계</v>
      </c>
      <c r="F330" t="s">
        <v>119</v>
      </c>
    </row>
    <row r="331" spans="1:6">
      <c r="A331" t="s">
        <v>195</v>
      </c>
      <c r="B331">
        <v>43</v>
      </c>
      <c r="C331" t="s">
        <v>170</v>
      </c>
      <c r="D331">
        <v>5215561</v>
      </c>
      <c r="E331" t="str">
        <f>IF($D331="","",VLOOKUP($D331,기준표!$B$4:$C$12,2,TRUE()))</f>
        <v>8단계</v>
      </c>
      <c r="F331" t="s">
        <v>119</v>
      </c>
    </row>
    <row r="332" spans="1:6">
      <c r="A332" t="s">
        <v>195</v>
      </c>
      <c r="B332">
        <v>44</v>
      </c>
      <c r="C332" t="s">
        <v>196</v>
      </c>
      <c r="D332">
        <v>5024120</v>
      </c>
      <c r="E332" t="str">
        <f>IF($D332="","",VLOOKUP($D332,기준표!$B$4:$C$12,2,TRUE()))</f>
        <v>8단계</v>
      </c>
      <c r="F332" t="s">
        <v>119</v>
      </c>
    </row>
    <row r="333" spans="1:6">
      <c r="A333" t="s">
        <v>195</v>
      </c>
      <c r="B333">
        <v>45</v>
      </c>
      <c r="C333" t="s">
        <v>106</v>
      </c>
      <c r="D333">
        <v>4627341</v>
      </c>
      <c r="E333" t="str">
        <f>IF($D333="","",VLOOKUP($D333,기준표!$B$4:$C$12,2,TRUE()))</f>
        <v>8단계</v>
      </c>
      <c r="F333" t="s">
        <v>119</v>
      </c>
    </row>
    <row r="334" spans="1:6">
      <c r="A334" t="s">
        <v>195</v>
      </c>
      <c r="B334">
        <v>46</v>
      </c>
      <c r="C334" t="s">
        <v>21</v>
      </c>
      <c r="D334">
        <v>4623655</v>
      </c>
      <c r="E334" t="str">
        <f>IF($D334="","",VLOOKUP($D334,기준표!$B$4:$C$12,2,TRUE()))</f>
        <v>8단계</v>
      </c>
      <c r="F334" t="s">
        <v>119</v>
      </c>
    </row>
    <row r="335" spans="1:6">
      <c r="A335" t="s">
        <v>195</v>
      </c>
      <c r="B335">
        <v>47</v>
      </c>
      <c r="C335" t="s">
        <v>189</v>
      </c>
      <c r="D335">
        <v>4614735</v>
      </c>
      <c r="E335" t="str">
        <f>IF($D335="","",VLOOKUP($D335,기준표!$B$4:$C$12,2,TRUE()))</f>
        <v>8단계</v>
      </c>
      <c r="F335" t="s">
        <v>119</v>
      </c>
    </row>
    <row r="336" spans="1:6">
      <c r="A336" t="s">
        <v>195</v>
      </c>
      <c r="B336">
        <v>48</v>
      </c>
      <c r="C336" t="s">
        <v>163</v>
      </c>
      <c r="D336">
        <v>4580024</v>
      </c>
      <c r="E336" t="str">
        <f>IF($D336="","",VLOOKUP($D336,기준표!$B$4:$C$12,2,TRUE()))</f>
        <v>8단계</v>
      </c>
      <c r="F336" t="s">
        <v>119</v>
      </c>
    </row>
    <row r="337" spans="1:6">
      <c r="A337" t="s">
        <v>195</v>
      </c>
      <c r="B337">
        <v>49</v>
      </c>
      <c r="C337" t="s">
        <v>191</v>
      </c>
      <c r="D337">
        <v>4368735</v>
      </c>
      <c r="E337" t="str">
        <f>IF($D337="","",VLOOKUP($D337,기준표!$B$4:$C$12,2,TRUE()))</f>
        <v>8단계</v>
      </c>
      <c r="F337" t="s">
        <v>119</v>
      </c>
    </row>
    <row r="338" spans="1:6">
      <c r="A338" t="s">
        <v>195</v>
      </c>
      <c r="B338">
        <v>50</v>
      </c>
      <c r="C338" t="s">
        <v>157</v>
      </c>
      <c r="D338">
        <v>4366580</v>
      </c>
      <c r="E338" t="str">
        <f>IF($D338="","",VLOOKUP($D338,기준표!$B$4:$C$12,2,TRUE()))</f>
        <v>8단계</v>
      </c>
      <c r="F338" t="s">
        <v>119</v>
      </c>
    </row>
    <row r="339" spans="1:6">
      <c r="A339" t="s">
        <v>195</v>
      </c>
      <c r="B339">
        <v>51</v>
      </c>
      <c r="C339" t="s">
        <v>62</v>
      </c>
      <c r="D339">
        <v>3952427</v>
      </c>
      <c r="E339" t="str">
        <f>IF($D339="","",VLOOKUP($D339,기준표!$B$4:$C$12,2,TRUE()))</f>
        <v>8단계</v>
      </c>
      <c r="F339" t="s">
        <v>119</v>
      </c>
    </row>
    <row r="340" spans="1:6">
      <c r="A340" t="s">
        <v>195</v>
      </c>
      <c r="B340">
        <v>52</v>
      </c>
      <c r="C340" t="s">
        <v>173</v>
      </c>
      <c r="D340">
        <v>3860586</v>
      </c>
      <c r="E340" t="str">
        <f>IF($D340="","",VLOOKUP($D340,기준표!$B$4:$C$12,2,TRUE()))</f>
        <v>8단계</v>
      </c>
      <c r="F340" t="s">
        <v>119</v>
      </c>
    </row>
    <row r="341" spans="1:6">
      <c r="A341" t="s">
        <v>195</v>
      </c>
      <c r="B341">
        <v>53</v>
      </c>
      <c r="C341" t="s">
        <v>85</v>
      </c>
      <c r="D341">
        <v>3800000</v>
      </c>
      <c r="E341" t="str">
        <f>IF($D341="","",VLOOKUP($D341,기준표!$B$4:$C$12,2,TRUE()))</f>
        <v>8단계</v>
      </c>
      <c r="F341" t="s">
        <v>119</v>
      </c>
    </row>
    <row r="342" spans="1:6">
      <c r="A342" t="s">
        <v>195</v>
      </c>
      <c r="B342">
        <v>54</v>
      </c>
      <c r="C342" t="s">
        <v>154</v>
      </c>
      <c r="D342">
        <v>3778640</v>
      </c>
      <c r="E342" t="str">
        <f>IF($D342="","",VLOOKUP($D342,기준표!$B$4:$C$12,2,TRUE()))</f>
        <v>8단계</v>
      </c>
      <c r="F342" t="s">
        <v>119</v>
      </c>
    </row>
    <row r="343" spans="1:6">
      <c r="A343" t="s">
        <v>195</v>
      </c>
      <c r="B343">
        <v>55</v>
      </c>
      <c r="C343" t="s">
        <v>19</v>
      </c>
      <c r="D343">
        <v>3763626</v>
      </c>
      <c r="E343" t="str">
        <f>IF($D343="","",VLOOKUP($D343,기준표!$B$4:$C$12,2,TRUE()))</f>
        <v>8단계</v>
      </c>
      <c r="F343" t="s">
        <v>119</v>
      </c>
    </row>
    <row r="344" spans="1:6">
      <c r="A344" t="s">
        <v>195</v>
      </c>
      <c r="B344">
        <v>56</v>
      </c>
      <c r="C344" t="s">
        <v>96</v>
      </c>
      <c r="D344">
        <v>3699601</v>
      </c>
      <c r="E344" t="str">
        <f>IF($D344="","",VLOOKUP($D344,기준표!$B$4:$C$12,2,TRUE()))</f>
        <v>8단계</v>
      </c>
      <c r="F344" t="s">
        <v>119</v>
      </c>
    </row>
    <row r="345" spans="1:6">
      <c r="A345" t="s">
        <v>195</v>
      </c>
      <c r="B345">
        <v>57</v>
      </c>
      <c r="C345" t="s">
        <v>136</v>
      </c>
      <c r="D345">
        <v>3663808</v>
      </c>
      <c r="E345" t="str">
        <f>IF($D345="","",VLOOKUP($D345,기준표!$B$4:$C$12,2,TRUE()))</f>
        <v>8단계</v>
      </c>
      <c r="F345" t="s">
        <v>119</v>
      </c>
    </row>
    <row r="346" spans="1:6">
      <c r="A346" t="s">
        <v>195</v>
      </c>
      <c r="B346">
        <v>58</v>
      </c>
      <c r="C346" t="s">
        <v>79</v>
      </c>
      <c r="D346">
        <v>3538064</v>
      </c>
      <c r="E346" t="str">
        <f>IF($D346="","",VLOOKUP($D346,기준표!$B$4:$C$12,2,TRUE()))</f>
        <v>8단계</v>
      </c>
      <c r="F346" t="s">
        <v>119</v>
      </c>
    </row>
    <row r="347" spans="1:6">
      <c r="A347" t="s">
        <v>195</v>
      </c>
      <c r="B347">
        <v>59</v>
      </c>
      <c r="C347" t="s">
        <v>175</v>
      </c>
      <c r="D347">
        <v>3500017</v>
      </c>
      <c r="E347" t="str">
        <f>IF($D347="","",VLOOKUP($D347,기준표!$B$4:$C$12,2,TRUE()))</f>
        <v>8단계</v>
      </c>
      <c r="F347" t="s">
        <v>119</v>
      </c>
    </row>
    <row r="348" spans="1:6">
      <c r="A348" t="s">
        <v>195</v>
      </c>
      <c r="B348">
        <v>60</v>
      </c>
      <c r="C348" t="s">
        <v>93</v>
      </c>
      <c r="D348">
        <v>3454477</v>
      </c>
      <c r="E348" t="str">
        <f>IF($D348="","",VLOOKUP($D348,기준표!$B$4:$C$12,2,TRUE()))</f>
        <v>8단계</v>
      </c>
      <c r="F348" t="s">
        <v>119</v>
      </c>
    </row>
    <row r="349" spans="1:6">
      <c r="A349" t="s">
        <v>195</v>
      </c>
      <c r="B349">
        <v>61</v>
      </c>
      <c r="C349" t="s">
        <v>190</v>
      </c>
      <c r="D349">
        <v>3385112</v>
      </c>
      <c r="E349" t="str">
        <f>IF($D349="","",VLOOKUP($D349,기준표!$B$4:$C$12,2,TRUE()))</f>
        <v>8단계</v>
      </c>
      <c r="F349" t="s">
        <v>119</v>
      </c>
    </row>
    <row r="350" spans="1:6">
      <c r="A350" t="s">
        <v>195</v>
      </c>
      <c r="B350">
        <v>62</v>
      </c>
      <c r="C350" t="s">
        <v>159</v>
      </c>
      <c r="D350">
        <v>3207525</v>
      </c>
      <c r="E350" t="str">
        <f>IF($D350="","",VLOOKUP($D350,기준표!$B$4:$C$12,2,TRUE()))</f>
        <v>8단계</v>
      </c>
      <c r="F350" t="s">
        <v>119</v>
      </c>
    </row>
    <row r="351" spans="1:6">
      <c r="A351" t="s">
        <v>195</v>
      </c>
      <c r="B351">
        <v>63</v>
      </c>
      <c r="C351" t="s">
        <v>81</v>
      </c>
      <c r="D351">
        <v>3156633</v>
      </c>
      <c r="E351" t="str">
        <f>IF($D351="","",VLOOKUP($D351,기준표!$B$4:$C$12,2,TRUE()))</f>
        <v>8단계</v>
      </c>
      <c r="F351" t="s">
        <v>119</v>
      </c>
    </row>
    <row r="352" spans="1:6">
      <c r="A352" t="s">
        <v>195</v>
      </c>
      <c r="B352">
        <v>64</v>
      </c>
      <c r="C352" t="s">
        <v>181</v>
      </c>
      <c r="D352">
        <v>3154065</v>
      </c>
      <c r="E352" t="str">
        <f>IF($D352="","",VLOOKUP($D352,기준표!$B$4:$C$12,2,TRUE()))</f>
        <v>8단계</v>
      </c>
      <c r="F352" t="s">
        <v>119</v>
      </c>
    </row>
    <row r="353" spans="1:6">
      <c r="A353" t="s">
        <v>195</v>
      </c>
      <c r="B353">
        <v>65</v>
      </c>
      <c r="C353" t="s">
        <v>177</v>
      </c>
      <c r="D353">
        <v>3055754</v>
      </c>
      <c r="E353" t="str">
        <f>IF($D353="","",VLOOKUP($D353,기준표!$B$4:$C$12,2,TRUE()))</f>
        <v>8단계</v>
      </c>
      <c r="F353" t="s">
        <v>119</v>
      </c>
    </row>
    <row r="354" spans="1:6">
      <c r="A354" t="s">
        <v>195</v>
      </c>
      <c r="B354">
        <v>66</v>
      </c>
      <c r="C354" t="s">
        <v>192</v>
      </c>
      <c r="D354">
        <v>3052804</v>
      </c>
      <c r="E354" t="str">
        <f>IF($D354="","",VLOOKUP($D354,기준표!$B$4:$C$12,2,TRUE()))</f>
        <v>8단계</v>
      </c>
      <c r="F354" t="s">
        <v>119</v>
      </c>
    </row>
    <row r="355" spans="1:6">
      <c r="A355" t="s">
        <v>195</v>
      </c>
      <c r="B355">
        <v>67</v>
      </c>
      <c r="C355" t="s">
        <v>165</v>
      </c>
      <c r="D355">
        <v>3048525</v>
      </c>
      <c r="E355" t="str">
        <f>IF($D355="","",VLOOKUP($D355,기준표!$B$4:$C$12,2,TRUE()))</f>
        <v>8단계</v>
      </c>
      <c r="F355" t="s">
        <v>119</v>
      </c>
    </row>
    <row r="356" spans="1:6">
      <c r="A356" t="s">
        <v>195</v>
      </c>
      <c r="B356">
        <v>68</v>
      </c>
      <c r="C356" t="s">
        <v>80</v>
      </c>
      <c r="D356">
        <v>2972510</v>
      </c>
      <c r="E356" t="str">
        <f>IF($D356="","",VLOOKUP($D356,기준표!$B$4:$C$12,2,TRUE()))</f>
        <v>8단계</v>
      </c>
      <c r="F356" t="s">
        <v>119</v>
      </c>
    </row>
    <row r="357" spans="1:6">
      <c r="A357" t="s">
        <v>195</v>
      </c>
      <c r="B357">
        <v>69</v>
      </c>
      <c r="C357" t="s">
        <v>11</v>
      </c>
      <c r="D357">
        <v>2903759</v>
      </c>
      <c r="E357" t="str">
        <f>IF($D357="","",VLOOKUP($D357,기준표!$B$4:$C$12,2,TRUE()))</f>
        <v>8단계</v>
      </c>
      <c r="F357" t="s">
        <v>119</v>
      </c>
    </row>
    <row r="358" spans="1:6">
      <c r="A358" t="s">
        <v>195</v>
      </c>
      <c r="B358">
        <v>70</v>
      </c>
      <c r="C358" t="s">
        <v>78</v>
      </c>
      <c r="D358">
        <v>2885592</v>
      </c>
      <c r="E358" t="str">
        <f>IF($D358="","",VLOOKUP($D358,기준표!$B$4:$C$12,2,TRUE()))</f>
        <v>8단계</v>
      </c>
      <c r="F358" t="s">
        <v>119</v>
      </c>
    </row>
    <row r="359" spans="1:6">
      <c r="A359" t="s">
        <v>195</v>
      </c>
      <c r="B359">
        <v>71</v>
      </c>
      <c r="C359" t="s">
        <v>179</v>
      </c>
      <c r="D359">
        <v>2837634</v>
      </c>
      <c r="E359" t="str">
        <f>IF($D359="","",VLOOKUP($D359,기준표!$B$4:$C$12,2,TRUE()))</f>
        <v>8단계</v>
      </c>
      <c r="F359" t="s">
        <v>119</v>
      </c>
    </row>
    <row r="360" spans="1:6">
      <c r="A360" t="s">
        <v>195</v>
      </c>
      <c r="B360">
        <v>72</v>
      </c>
      <c r="C360" t="s">
        <v>122</v>
      </c>
      <c r="D360">
        <v>2819525</v>
      </c>
      <c r="E360" t="str">
        <f>IF($D360="","",VLOOKUP($D360,기준표!$B$4:$C$12,2,TRUE()))</f>
        <v>8단계</v>
      </c>
      <c r="F360" t="s">
        <v>119</v>
      </c>
    </row>
    <row r="361" spans="1:6">
      <c r="A361" t="s">
        <v>195</v>
      </c>
      <c r="B361">
        <v>73</v>
      </c>
      <c r="C361" t="s">
        <v>155</v>
      </c>
      <c r="D361">
        <v>2729409</v>
      </c>
      <c r="E361" t="str">
        <f>IF($D361="","",VLOOKUP($D361,기준표!$B$4:$C$12,2,TRUE()))</f>
        <v>8단계</v>
      </c>
      <c r="F361" t="s">
        <v>119</v>
      </c>
    </row>
    <row r="362" spans="1:6">
      <c r="A362" t="s">
        <v>195</v>
      </c>
      <c r="B362">
        <v>74</v>
      </c>
      <c r="C362" t="s">
        <v>100</v>
      </c>
      <c r="D362">
        <v>2685750</v>
      </c>
      <c r="E362" t="str">
        <f>IF($D362="","",VLOOKUP($D362,기준표!$B$4:$C$12,2,TRUE()))</f>
        <v>8단계</v>
      </c>
      <c r="F362" t="s">
        <v>119</v>
      </c>
    </row>
    <row r="363" spans="1:6">
      <c r="A363" t="s">
        <v>195</v>
      </c>
      <c r="B363">
        <v>75</v>
      </c>
      <c r="C363" t="s">
        <v>169</v>
      </c>
      <c r="D363">
        <v>2636067</v>
      </c>
      <c r="E363" t="str">
        <f>IF($D363="","",VLOOKUP($D363,기준표!$B$4:$C$12,2,TRUE()))</f>
        <v>8단계</v>
      </c>
      <c r="F363" t="s">
        <v>119</v>
      </c>
    </row>
    <row r="364" spans="1:6">
      <c r="A364" t="s">
        <v>195</v>
      </c>
      <c r="B364">
        <v>76</v>
      </c>
      <c r="C364" t="s">
        <v>187</v>
      </c>
      <c r="D364">
        <v>2623022</v>
      </c>
      <c r="E364" t="str">
        <f>IF($D364="","",VLOOKUP($D364,기준표!$B$4:$C$12,2,TRUE()))</f>
        <v>7단계</v>
      </c>
      <c r="F364" t="s">
        <v>119</v>
      </c>
    </row>
    <row r="365" spans="1:6">
      <c r="A365" t="s">
        <v>195</v>
      </c>
      <c r="B365">
        <v>77</v>
      </c>
      <c r="C365" t="s">
        <v>180</v>
      </c>
      <c r="D365">
        <v>2557774</v>
      </c>
      <c r="E365" t="str">
        <f>IF($D365="","",VLOOKUP($D365,기준표!$B$4:$C$12,2,TRUE()))</f>
        <v>7단계</v>
      </c>
      <c r="F365" t="s">
        <v>119</v>
      </c>
    </row>
    <row r="366" spans="1:6">
      <c r="A366" t="s">
        <v>195</v>
      </c>
      <c r="B366">
        <v>78</v>
      </c>
      <c r="C366" t="s">
        <v>5</v>
      </c>
      <c r="D366">
        <v>2325000</v>
      </c>
      <c r="E366" t="str">
        <f>IF($D366="","",VLOOKUP($D366,기준표!$B$4:$C$12,2,TRUE()))</f>
        <v>7단계</v>
      </c>
      <c r="F366" t="s">
        <v>119</v>
      </c>
    </row>
    <row r="367" spans="1:6">
      <c r="A367" t="s">
        <v>195</v>
      </c>
      <c r="B367">
        <v>79</v>
      </c>
      <c r="C367" t="s">
        <v>101</v>
      </c>
      <c r="D367">
        <v>2217690</v>
      </c>
      <c r="E367" t="str">
        <f>IF($D367="","",VLOOKUP($D367,기준표!$B$4:$C$12,2,TRUE()))</f>
        <v>6단계</v>
      </c>
      <c r="F367" t="s">
        <v>119</v>
      </c>
    </row>
    <row r="368" spans="1:6">
      <c r="A368" t="s">
        <v>195</v>
      </c>
      <c r="B368">
        <v>80</v>
      </c>
      <c r="C368" t="s">
        <v>109</v>
      </c>
      <c r="D368">
        <v>1989832</v>
      </c>
      <c r="E368" t="str">
        <f>IF($D368="","",VLOOKUP($D368,기준표!$B$4:$C$12,2,TRUE()))</f>
        <v>6단계</v>
      </c>
      <c r="F368" t="s">
        <v>119</v>
      </c>
    </row>
    <row r="369" spans="1:6">
      <c r="A369" t="s">
        <v>195</v>
      </c>
      <c r="B369">
        <v>81</v>
      </c>
      <c r="C369" t="s">
        <v>186</v>
      </c>
      <c r="D369">
        <v>1811586</v>
      </c>
      <c r="E369" t="str">
        <f>IF($D369="","",VLOOKUP($D369,기준표!$B$4:$C$12,2,TRUE()))</f>
        <v>6단계</v>
      </c>
      <c r="F369" t="s">
        <v>119</v>
      </c>
    </row>
    <row r="370" spans="1:6">
      <c r="A370" t="s">
        <v>195</v>
      </c>
      <c r="B370">
        <v>82</v>
      </c>
      <c r="C370" t="s">
        <v>110</v>
      </c>
      <c r="D370">
        <v>1779426</v>
      </c>
      <c r="E370" t="str">
        <f>IF($D370="","",VLOOKUP($D370,기준표!$B$4:$C$12,2,TRUE()))</f>
        <v>6단계</v>
      </c>
      <c r="F370" t="s">
        <v>119</v>
      </c>
    </row>
    <row r="371" spans="1:6">
      <c r="A371" t="s">
        <v>195</v>
      </c>
      <c r="B371">
        <v>83</v>
      </c>
      <c r="C371" t="s">
        <v>77</v>
      </c>
      <c r="D371">
        <v>1680777</v>
      </c>
      <c r="E371" t="str">
        <f>IF($D371="","",VLOOKUP($D371,기준표!$B$4:$C$12,2,TRUE()))</f>
        <v>6단계</v>
      </c>
      <c r="F371" t="s">
        <v>119</v>
      </c>
    </row>
    <row r="372" spans="1:6">
      <c r="A372" t="s">
        <v>195</v>
      </c>
      <c r="B372">
        <v>84</v>
      </c>
      <c r="C372" t="s">
        <v>135</v>
      </c>
      <c r="D372">
        <v>1657933</v>
      </c>
      <c r="E372" t="str">
        <f>IF($D372="","",VLOOKUP($D372,기준표!$B$4:$C$12,2,TRUE()))</f>
        <v>6단계</v>
      </c>
      <c r="F372" t="s">
        <v>119</v>
      </c>
    </row>
    <row r="373" spans="1:6">
      <c r="A373" t="s">
        <v>195</v>
      </c>
      <c r="B373">
        <v>85</v>
      </c>
      <c r="C373" t="s">
        <v>102</v>
      </c>
      <c r="D373">
        <v>1623195</v>
      </c>
      <c r="E373" t="str">
        <f>IF($D373="","",VLOOKUP($D373,기준표!$B$4:$C$12,2,TRUE()))</f>
        <v>6단계</v>
      </c>
      <c r="F373" t="s">
        <v>119</v>
      </c>
    </row>
    <row r="374" spans="1:6">
      <c r="A374" t="s">
        <v>195</v>
      </c>
      <c r="B374">
        <v>86</v>
      </c>
      <c r="C374" t="s">
        <v>111</v>
      </c>
      <c r="D374">
        <v>1533356</v>
      </c>
      <c r="E374" t="str">
        <f>IF($D374="","",VLOOKUP($D374,기준표!$B$4:$C$12,2,TRUE()))</f>
        <v>6단계</v>
      </c>
      <c r="F374" t="s">
        <v>119</v>
      </c>
    </row>
    <row r="375" spans="1:6">
      <c r="A375" t="s">
        <v>195</v>
      </c>
      <c r="B375">
        <v>87</v>
      </c>
      <c r="C375" t="s">
        <v>164</v>
      </c>
      <c r="D375">
        <v>1526238</v>
      </c>
      <c r="E375" t="str">
        <f>IF($D375="","",VLOOKUP($D375,기준표!$B$4:$C$12,2,TRUE()))</f>
        <v>6단계</v>
      </c>
      <c r="F375" t="s">
        <v>119</v>
      </c>
    </row>
    <row r="376" spans="1:6">
      <c r="A376" t="s">
        <v>195</v>
      </c>
      <c r="B376">
        <v>88</v>
      </c>
      <c r="C376" t="s">
        <v>139</v>
      </c>
      <c r="D376">
        <v>1498153</v>
      </c>
      <c r="E376" t="str">
        <f>IF($D376="","",VLOOKUP($D376,기준표!$B$4:$C$12,2,TRUE()))</f>
        <v>6단계</v>
      </c>
      <c r="F376" t="s">
        <v>119</v>
      </c>
    </row>
    <row r="377" spans="1:6">
      <c r="A377" t="s">
        <v>195</v>
      </c>
      <c r="B377">
        <v>89</v>
      </c>
      <c r="C377" t="s">
        <v>172</v>
      </c>
      <c r="D377">
        <v>1365367</v>
      </c>
      <c r="E377" t="str">
        <f>IF($D377="","",VLOOKUP($D377,기준표!$B$4:$C$12,2,TRUE()))</f>
        <v>6단계</v>
      </c>
      <c r="F377" t="s">
        <v>119</v>
      </c>
    </row>
    <row r="378" spans="1:6">
      <c r="A378" t="s">
        <v>195</v>
      </c>
      <c r="B378">
        <v>90</v>
      </c>
      <c r="C378" t="s">
        <v>103</v>
      </c>
      <c r="D378">
        <v>1210000</v>
      </c>
      <c r="E378" t="str">
        <f>IF($D378="","",VLOOKUP($D378,기준표!$B$4:$C$12,2,TRUE()))</f>
        <v>6단계</v>
      </c>
      <c r="F378" t="s">
        <v>119</v>
      </c>
    </row>
    <row r="379" spans="1:6">
      <c r="A379" t="s">
        <v>195</v>
      </c>
      <c r="B379">
        <v>91</v>
      </c>
      <c r="C379" t="s">
        <v>105</v>
      </c>
      <c r="D379">
        <v>1011564</v>
      </c>
      <c r="E379" t="str">
        <f>IF($D379="","",VLOOKUP($D379,기준표!$B$4:$C$12,2,TRUE()))</f>
        <v>5단계</v>
      </c>
      <c r="F379" t="s">
        <v>119</v>
      </c>
    </row>
    <row r="380" spans="1:6">
      <c r="A380" t="s">
        <v>195</v>
      </c>
      <c r="B380">
        <v>92</v>
      </c>
      <c r="C380" t="s">
        <v>182</v>
      </c>
      <c r="D380">
        <v>963142</v>
      </c>
      <c r="E380" t="str">
        <f>IF($D380="","",VLOOKUP($D380,기준표!$B$4:$C$12,2,TRUE()))</f>
        <v>5단계</v>
      </c>
      <c r="F380" t="s">
        <v>119</v>
      </c>
    </row>
    <row r="381" spans="1:6">
      <c r="A381" t="s">
        <v>195</v>
      </c>
      <c r="B381">
        <v>93</v>
      </c>
      <c r="C381" t="s">
        <v>113</v>
      </c>
      <c r="D381">
        <v>620777</v>
      </c>
      <c r="E381" t="str">
        <f>IF($D381="","",VLOOKUP($D381,기준표!$B$4:$C$12,2,TRUE()))</f>
        <v>4단계</v>
      </c>
      <c r="F381" t="s">
        <v>119</v>
      </c>
    </row>
    <row r="382" spans="1:6">
      <c r="A382" t="s">
        <v>195</v>
      </c>
      <c r="B382">
        <v>94</v>
      </c>
      <c r="C382" t="s">
        <v>99</v>
      </c>
      <c r="D382">
        <v>598325</v>
      </c>
      <c r="E382" t="str">
        <f>IF($D382="","",VLOOKUP($D382,기준표!$B$4:$C$12,2,TRUE()))</f>
        <v>4단계</v>
      </c>
      <c r="F382" t="s">
        <v>119</v>
      </c>
    </row>
    <row r="383" spans="1:6">
      <c r="A383" t="s">
        <v>195</v>
      </c>
      <c r="B383">
        <v>95</v>
      </c>
      <c r="C383" t="s">
        <v>104</v>
      </c>
      <c r="D383">
        <v>337185</v>
      </c>
      <c r="E383" t="str">
        <f>IF($D383="","",VLOOKUP($D383,기준표!$B$4:$C$12,2,TRUE()))</f>
        <v>3단계</v>
      </c>
      <c r="F383" t="s">
        <v>119</v>
      </c>
    </row>
    <row r="384" spans="1:6">
      <c r="A384" t="s">
        <v>195</v>
      </c>
      <c r="B384">
        <v>96</v>
      </c>
      <c r="C384" t="s">
        <v>88</v>
      </c>
      <c r="D384">
        <v>189433</v>
      </c>
      <c r="E384" t="str">
        <f>IF($D384="","",VLOOKUP($D384,기준표!$B$4:$C$12,2,TRUE()))</f>
        <v>3단계</v>
      </c>
      <c r="F384" t="s">
        <v>119</v>
      </c>
    </row>
    <row r="385" spans="1:6">
      <c r="A385" t="s">
        <v>195</v>
      </c>
      <c r="B385">
        <v>97</v>
      </c>
      <c r="C385" t="s">
        <v>183</v>
      </c>
      <c r="D385">
        <v>99581</v>
      </c>
      <c r="E385" t="str">
        <f>IF($D385="","",VLOOKUP($D385,기준표!$B$4:$C$12,2,TRUE()))</f>
        <v>2단계</v>
      </c>
      <c r="F385" t="s">
        <v>119</v>
      </c>
    </row>
  </sheetData>
  <phoneticPr fontId="8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tabSelected="1" zoomScaleNormal="100" workbookViewId="0">
      <selection activeCell="B15" sqref="B15"/>
    </sheetView>
  </sheetViews>
  <sheetFormatPr defaultColWidth="8.5" defaultRowHeight="16.5"/>
  <cols>
    <col min="1" max="1" width="28" customWidth="1"/>
    <col min="2" max="2" width="20" customWidth="1"/>
  </cols>
  <sheetData>
    <row r="1" spans="1:2" ht="16.5" customHeight="1">
      <c r="A1" s="11" t="s">
        <v>0</v>
      </c>
      <c r="B1" s="11" t="s">
        <v>1</v>
      </c>
    </row>
    <row r="2" spans="1:2" ht="16.5" customHeight="1">
      <c r="A2" s="1" t="s">
        <v>2</v>
      </c>
      <c r="B2" s="1" t="s">
        <v>3</v>
      </c>
    </row>
    <row r="3" spans="1:2" ht="16.5" customHeight="1">
      <c r="A3" s="1" t="s">
        <v>4</v>
      </c>
      <c r="B3" s="1" t="s">
        <v>5</v>
      </c>
    </row>
    <row r="4" spans="1:2" ht="16.5" customHeight="1">
      <c r="A4" t="s">
        <v>6</v>
      </c>
      <c r="B4" s="1" t="s">
        <v>7</v>
      </c>
    </row>
    <row r="5" spans="1:2" ht="16.5" customHeight="1">
      <c r="A5" s="1" t="s">
        <v>8</v>
      </c>
      <c r="B5" s="1" t="s">
        <v>9</v>
      </c>
    </row>
    <row r="6" spans="1:2" ht="16.5" customHeight="1">
      <c r="A6" s="1" t="s">
        <v>10</v>
      </c>
      <c r="B6" s="1" t="s">
        <v>11</v>
      </c>
    </row>
    <row r="7" spans="1:2">
      <c r="A7" s="1" t="s">
        <v>7</v>
      </c>
      <c r="B7" s="1" t="s">
        <v>12</v>
      </c>
    </row>
    <row r="8" spans="1:2">
      <c r="A8" s="1" t="s">
        <v>13</v>
      </c>
      <c r="B8" s="1" t="s">
        <v>14</v>
      </c>
    </row>
    <row r="9" spans="1:2">
      <c r="A9" t="s">
        <v>15</v>
      </c>
      <c r="B9" t="s">
        <v>16</v>
      </c>
    </row>
    <row r="10" spans="1:2">
      <c r="A10" s="12" t="s">
        <v>17</v>
      </c>
      <c r="B10" s="1" t="s">
        <v>18</v>
      </c>
    </row>
    <row r="11" spans="1:2">
      <c r="A11" s="1" t="s">
        <v>14</v>
      </c>
      <c r="B11" s="13" t="s">
        <v>19</v>
      </c>
    </row>
    <row r="12" spans="1:2">
      <c r="A12" t="s">
        <v>20</v>
      </c>
      <c r="B12" t="s">
        <v>21</v>
      </c>
    </row>
    <row r="13" spans="1:2">
      <c r="A13" t="s">
        <v>22</v>
      </c>
      <c r="B13" t="s">
        <v>23</v>
      </c>
    </row>
    <row r="14" spans="1:2">
      <c r="A14" t="s">
        <v>197</v>
      </c>
      <c r="B14" t="s">
        <v>198</v>
      </c>
    </row>
  </sheetData>
  <phoneticPr fontId="8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기준표</vt:lpstr>
      <vt:lpstr>2026-06</vt:lpstr>
      <vt:lpstr>2026-07</vt:lpstr>
      <vt:lpstr>별칭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민재 조</cp:lastModifiedBy>
  <cp:revision>0</cp:revision>
  <dcterms:created xsi:type="dcterms:W3CDTF">2026-06-17T03:09:36Z</dcterms:created>
  <dcterms:modified xsi:type="dcterms:W3CDTF">2026-07-05T02:03:24Z</dcterms:modified>
  <dc:language>en-US</dc:language>
</cp:coreProperties>
</file>