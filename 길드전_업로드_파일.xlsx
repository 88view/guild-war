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J\Downloads\Rank_cap\길드전포인트\"/>
    </mc:Choice>
  </mc:AlternateContent>
  <xr:revisionPtr revIDLastSave="0" documentId="13_ncr:1_{CE135377-5D38-4168-A6DE-6D9AB54BCC81}" xr6:coauthVersionLast="47" xr6:coauthVersionMax="47" xr10:uidLastSave="{00000000-0000-0000-0000-000000000000}"/>
  <bookViews>
    <workbookView xWindow="-27990" yWindow="5895" windowWidth="28110" windowHeight="16440" tabRatio="500" activeTab="6" xr2:uid="{00000000-000D-0000-FFFF-FFFF00000000}"/>
  </bookViews>
  <sheets>
    <sheet name="월요일" sheetId="2" r:id="rId1"/>
    <sheet name="화요일" sheetId="3" r:id="rId2"/>
    <sheet name="수요일" sheetId="4" r:id="rId3"/>
    <sheet name="목요일" sheetId="5" r:id="rId4"/>
    <sheet name="금요일" sheetId="6" r:id="rId5"/>
    <sheet name="토요일" sheetId="7" r:id="rId6"/>
    <sheet name="2026-06" sheetId="8" r:id="rId7"/>
    <sheet name="2026-07" sheetId="9" r:id="rId8"/>
    <sheet name="기준표" sheetId="10" r:id="rId9"/>
  </sheets>
  <externalReferences>
    <externalReference r:id="rId10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71" i="3" l="1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73" i="7"/>
  <c r="E72" i="7"/>
  <c r="E71" i="7"/>
  <c r="E70" i="7"/>
  <c r="E69" i="7"/>
  <c r="E68" i="7"/>
  <c r="H8" i="7" s="1"/>
  <c r="H14" i="7"/>
  <c r="H13" i="7"/>
  <c r="H4" i="7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H14" i="6"/>
  <c r="E14" i="6"/>
  <c r="H13" i="6"/>
  <c r="E13" i="6"/>
  <c r="E12" i="6"/>
  <c r="E11" i="6"/>
  <c r="E10" i="6"/>
  <c r="E9" i="6"/>
  <c r="E8" i="6"/>
  <c r="H7" i="6"/>
  <c r="E7" i="6"/>
  <c r="E6" i="6"/>
  <c r="E5" i="6"/>
  <c r="H9" i="6" s="1"/>
  <c r="E4" i="6"/>
  <c r="H12" i="6" s="1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H14" i="5"/>
  <c r="E14" i="5"/>
  <c r="H13" i="5"/>
  <c r="E13" i="5"/>
  <c r="E12" i="5"/>
  <c r="E11" i="5"/>
  <c r="E10" i="5"/>
  <c r="H9" i="5"/>
  <c r="E9" i="5"/>
  <c r="E8" i="5"/>
  <c r="E7" i="5"/>
  <c r="E6" i="5"/>
  <c r="H11" i="5" s="1"/>
  <c r="E5" i="5"/>
  <c r="E4" i="5"/>
  <c r="H14" i="4"/>
  <c r="H13" i="4"/>
  <c r="H12" i="4"/>
  <c r="H11" i="4"/>
  <c r="H10" i="4"/>
  <c r="H9" i="4"/>
  <c r="H8" i="4"/>
  <c r="H7" i="4"/>
  <c r="H6" i="4"/>
  <c r="H5" i="4"/>
  <c r="H4" i="4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H14" i="2"/>
  <c r="E14" i="2"/>
  <c r="H13" i="2"/>
  <c r="E13" i="2"/>
  <c r="E12" i="2"/>
  <c r="E11" i="2"/>
  <c r="E10" i="2"/>
  <c r="E9" i="2"/>
  <c r="E8" i="2"/>
  <c r="E7" i="2"/>
  <c r="H6" i="2"/>
  <c r="E6" i="2"/>
  <c r="H7" i="2" s="1"/>
  <c r="E5" i="2"/>
  <c r="E4" i="2"/>
  <c r="H9" i="2" s="1"/>
  <c r="H14" i="3"/>
  <c r="H13" i="3"/>
  <c r="H9" i="3"/>
  <c r="H12" i="3"/>
  <c r="H7" i="7" l="1"/>
  <c r="H6" i="7"/>
  <c r="H5" i="7"/>
  <c r="H11" i="7"/>
  <c r="H9" i="7"/>
  <c r="H10" i="2"/>
  <c r="H6" i="5"/>
  <c r="H12" i="5"/>
  <c r="H7" i="3"/>
  <c r="H4" i="2"/>
  <c r="H8" i="3"/>
  <c r="H8" i="6"/>
  <c r="H5" i="2"/>
  <c r="H11" i="2"/>
  <c r="H7" i="5"/>
  <c r="H10" i="7"/>
  <c r="H12" i="2"/>
  <c r="H8" i="5"/>
  <c r="H4" i="3"/>
  <c r="H10" i="3"/>
  <c r="H4" i="6"/>
  <c r="H10" i="6"/>
  <c r="H12" i="7"/>
  <c r="H5" i="3"/>
  <c r="H11" i="3"/>
  <c r="H5" i="6"/>
  <c r="H11" i="6"/>
  <c r="H8" i="2"/>
  <c r="H4" i="5"/>
  <c r="H10" i="5"/>
  <c r="H6" i="3"/>
  <c r="H6" i="6"/>
  <c r="H5" i="5"/>
</calcChain>
</file>

<file path=xl/sharedStrings.xml><?xml version="1.0" encoding="utf-8"?>
<sst xmlns="http://schemas.openxmlformats.org/spreadsheetml/2006/main" count="620" uniqueCount="132">
  <si>
    <t>기준일자</t>
  </si>
  <si>
    <t>2026-06-15</t>
  </si>
  <si>
    <t>길드전 랭킹포인트 — 월요일</t>
  </si>
  <si>
    <t>순위</t>
  </si>
  <si>
    <t>플레이어</t>
  </si>
  <si>
    <t>점수</t>
  </si>
  <si>
    <t>단계</t>
  </si>
  <si>
    <t>단계별 인원</t>
  </si>
  <si>
    <t>인원</t>
  </si>
  <si>
    <t>떪은홍시</t>
  </si>
  <si>
    <r>
      <rPr>
        <b/>
        <sz val="11"/>
        <rFont val="맑은 고딕"/>
        <family val="3"/>
        <charset val="129"/>
      </rPr>
      <t>9</t>
    </r>
    <r>
      <rPr>
        <b/>
        <sz val="11"/>
        <rFont val="Noto Sans CJK SC"/>
        <family val="2"/>
      </rPr>
      <t>단계</t>
    </r>
  </si>
  <si>
    <r>
      <rPr>
        <sz val="11"/>
        <rFont val="맑은 고딕"/>
        <family val="3"/>
        <charset val="129"/>
      </rPr>
      <t xml:space="preserve">Lv100 </t>
    </r>
    <r>
      <rPr>
        <sz val="11"/>
        <rFont val="Noto Sans CJK SC"/>
        <family val="2"/>
      </rPr>
      <t>배회하는 좀비</t>
    </r>
  </si>
  <si>
    <r>
      <rPr>
        <b/>
        <sz val="11"/>
        <rFont val="맑은 고딕"/>
        <family val="3"/>
        <charset val="129"/>
      </rPr>
      <t>8</t>
    </r>
    <r>
      <rPr>
        <b/>
        <sz val="11"/>
        <rFont val="Noto Sans CJK SC"/>
        <family val="2"/>
      </rPr>
      <t>단계</t>
    </r>
  </si>
  <si>
    <t>뮤지컬보러가서노래따라부르는놈</t>
  </si>
  <si>
    <r>
      <rPr>
        <b/>
        <sz val="11"/>
        <rFont val="맑은 고딕"/>
        <family val="3"/>
        <charset val="129"/>
      </rPr>
      <t>7</t>
    </r>
    <r>
      <rPr>
        <b/>
        <sz val="11"/>
        <rFont val="Noto Sans CJK SC"/>
        <family val="2"/>
      </rPr>
      <t>단계</t>
    </r>
  </si>
  <si>
    <t>독여울</t>
  </si>
  <si>
    <r>
      <rPr>
        <b/>
        <sz val="11"/>
        <rFont val="맑은 고딕"/>
        <family val="3"/>
        <charset val="129"/>
      </rPr>
      <t>6</t>
    </r>
    <r>
      <rPr>
        <b/>
        <sz val="11"/>
        <rFont val="Noto Sans CJK SC"/>
        <family val="2"/>
      </rPr>
      <t>단계</t>
    </r>
  </si>
  <si>
    <t>스무디에얼음빼주세요</t>
  </si>
  <si>
    <r>
      <rPr>
        <b/>
        <sz val="11"/>
        <rFont val="맑은 고딕"/>
        <family val="3"/>
        <charset val="129"/>
      </rPr>
      <t>5</t>
    </r>
    <r>
      <rPr>
        <b/>
        <sz val="11"/>
        <rFont val="Noto Sans CJK SC"/>
        <family val="2"/>
      </rPr>
      <t>단계</t>
    </r>
  </si>
  <si>
    <t>독화살</t>
  </si>
  <si>
    <r>
      <rPr>
        <b/>
        <sz val="11"/>
        <rFont val="맑은 고딕"/>
        <family val="3"/>
        <charset val="129"/>
      </rPr>
      <t>4</t>
    </r>
    <r>
      <rPr>
        <b/>
        <sz val="11"/>
        <rFont val="Noto Sans CJK SC"/>
        <family val="2"/>
      </rPr>
      <t>단계</t>
    </r>
  </si>
  <si>
    <r>
      <rPr>
        <sz val="11"/>
        <rFont val="맑은 고딕"/>
        <family val="3"/>
        <charset val="129"/>
      </rPr>
      <t>-</t>
    </r>
    <r>
      <rPr>
        <sz val="11"/>
        <rFont val="Noto Sans CJK SC"/>
        <family val="2"/>
      </rPr>
      <t>프리저</t>
    </r>
    <r>
      <rPr>
        <sz val="11"/>
        <rFont val="맑은 고딕"/>
        <family val="3"/>
        <charset val="129"/>
      </rPr>
      <t>-</t>
    </r>
  </si>
  <si>
    <r>
      <rPr>
        <b/>
        <sz val="11"/>
        <rFont val="맑은 고딕"/>
        <family val="3"/>
        <charset val="129"/>
      </rPr>
      <t>3</t>
    </r>
    <r>
      <rPr>
        <b/>
        <sz val="11"/>
        <rFont val="Noto Sans CJK SC"/>
        <family val="2"/>
      </rPr>
      <t>단계</t>
    </r>
  </si>
  <si>
    <t>왜요뭐</t>
  </si>
  <si>
    <r>
      <rPr>
        <b/>
        <sz val="11"/>
        <rFont val="맑은 고딕"/>
        <family val="3"/>
        <charset val="129"/>
      </rPr>
      <t>2</t>
    </r>
    <r>
      <rPr>
        <b/>
        <sz val="11"/>
        <rFont val="Noto Sans CJK SC"/>
        <family val="2"/>
      </rPr>
      <t>단계</t>
    </r>
  </si>
  <si>
    <t>빨강맛</t>
  </si>
  <si>
    <r>
      <rPr>
        <b/>
        <sz val="11"/>
        <rFont val="맑은 고딕"/>
        <family val="3"/>
        <charset val="129"/>
      </rPr>
      <t>1</t>
    </r>
    <r>
      <rPr>
        <b/>
        <sz val="11"/>
        <rFont val="Noto Sans CJK SC"/>
        <family val="2"/>
      </rPr>
      <t>단계</t>
    </r>
  </si>
  <si>
    <t>별빛여신</t>
  </si>
  <si>
    <t>총 인원</t>
  </si>
  <si>
    <t>떠들어봐안들린다</t>
  </si>
  <si>
    <t>총 점수</t>
  </si>
  <si>
    <t>진짜한입만나못믿니</t>
  </si>
  <si>
    <t>독거노인춘삼</t>
  </si>
  <si>
    <t>아크으</t>
  </si>
  <si>
    <t>독건담</t>
  </si>
  <si>
    <t>아사히</t>
  </si>
  <si>
    <t>영화관에서결말스포한냔</t>
  </si>
  <si>
    <t>미녀와야자수</t>
  </si>
  <si>
    <t>독방구핑</t>
  </si>
  <si>
    <t>뉴스나온그사람</t>
  </si>
  <si>
    <t>니면상시베리아</t>
  </si>
  <si>
    <t>모어쩌라고</t>
  </si>
  <si>
    <t>빡센공주</t>
  </si>
  <si>
    <t>할말있는데나중에말해줌</t>
  </si>
  <si>
    <t>명령하디마라</t>
  </si>
  <si>
    <t>독수리골드</t>
  </si>
  <si>
    <t>습격이다개스키야</t>
  </si>
  <si>
    <t>독과점</t>
  </si>
  <si>
    <t>독잉교</t>
  </si>
  <si>
    <t>해녀도앤댈리는뒈</t>
  </si>
  <si>
    <t>훔쳐뿟노</t>
  </si>
  <si>
    <t>쉰데렐라</t>
  </si>
  <si>
    <t>앞니로조사버리는토끼</t>
  </si>
  <si>
    <t>핑도노·훔치고·생각하는·편</t>
  </si>
  <si>
    <t>독철이</t>
  </si>
  <si>
    <t>베놈이마깐데또까</t>
  </si>
  <si>
    <t>독로이지</t>
  </si>
  <si>
    <t>독독쿠롱</t>
  </si>
  <si>
    <t>이런들어떠하리저런들어떠하리</t>
  </si>
  <si>
    <t>숲속모텔</t>
  </si>
  <si>
    <t>현금만받아</t>
  </si>
  <si>
    <t>독후감상문</t>
  </si>
  <si>
    <t>괴도하미</t>
  </si>
  <si>
    <t>독한다람쥐</t>
  </si>
  <si>
    <t>여썰고</t>
  </si>
  <si>
    <t>라면주면갈께</t>
  </si>
  <si>
    <t>단추가게</t>
  </si>
  <si>
    <t>독골골</t>
  </si>
  <si>
    <t>독눈누눈누</t>
  </si>
  <si>
    <t>엘베닫힘연타범</t>
  </si>
  <si>
    <t>티거Ya드랍더튀어</t>
  </si>
  <si>
    <t>독그릭</t>
  </si>
  <si>
    <t>독한월요일병</t>
  </si>
  <si>
    <t>눈밑에점찍고돌아온아내</t>
  </si>
  <si>
    <t>안톤 쉬거</t>
  </si>
  <si>
    <t>자르반84세</t>
  </si>
  <si>
    <t>독고독</t>
  </si>
  <si>
    <t>주니쯤</t>
  </si>
  <si>
    <t>독팡팡</t>
  </si>
  <si>
    <t>1090</t>
  </si>
  <si>
    <t>독아윤</t>
  </si>
  <si>
    <t>독삼미</t>
  </si>
  <si>
    <t>독터키캔씨Turkey1881</t>
  </si>
  <si>
    <t>독이즈</t>
  </si>
  <si>
    <t>독주</t>
  </si>
  <si>
    <t>린이</t>
  </si>
  <si>
    <t>수색맨</t>
  </si>
  <si>
    <t>2026-06-16</t>
  </si>
  <si>
    <t>길드전 랭킹포인트 — 화요일</t>
  </si>
  <si>
    <t>Lv100 배회하는 좀비</t>
  </si>
  <si>
    <t>악마인데순둥소예</t>
  </si>
  <si>
    <t>2026-06-17</t>
  </si>
  <si>
    <t>길드전 랭킹포인트 — 수요일</t>
  </si>
  <si>
    <t>2026-06-18</t>
  </si>
  <si>
    <t>길드전 랭킹포인트 — 목요일</t>
  </si>
  <si>
    <t>2026-06-19</t>
  </si>
  <si>
    <t>길드전 랭킹포인트 — 금요일</t>
  </si>
  <si>
    <t>길드전 랭킹포인트 — 토요일</t>
  </si>
  <si>
    <t>독홍시</t>
  </si>
  <si>
    <t>독한련</t>
  </si>
  <si>
    <r>
      <rPr>
        <sz val="11"/>
        <rFont val="Noto Sans CJK SC"/>
        <family val="2"/>
      </rPr>
      <t>핑도노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훔치고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생각하는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편</t>
    </r>
  </si>
  <si>
    <t>명령라하지마라</t>
  </si>
  <si>
    <t>독파민</t>
  </si>
  <si>
    <t>독그레핀</t>
  </si>
  <si>
    <t>독아사</t>
  </si>
  <si>
    <t>독살교육</t>
  </si>
  <si>
    <t>독약원샷</t>
  </si>
  <si>
    <t>독계탕</t>
  </si>
  <si>
    <t>독아크</t>
  </si>
  <si>
    <r>
      <rPr>
        <sz val="11"/>
        <rFont val="Noto Sans CJK SC"/>
        <family val="2"/>
      </rPr>
      <t>티거</t>
    </r>
    <r>
      <rPr>
        <sz val="11"/>
        <rFont val="맑은 고딕"/>
        <family val="3"/>
        <charset val="129"/>
      </rPr>
      <t>Ya</t>
    </r>
    <r>
      <rPr>
        <sz val="11"/>
        <rFont val="Noto Sans CJK SC"/>
        <family val="2"/>
      </rPr>
      <t>드랍더튀어</t>
    </r>
  </si>
  <si>
    <r>
      <rPr>
        <sz val="11"/>
        <rFont val="Noto Sans CJK SC"/>
        <family val="2"/>
      </rPr>
      <t>독터키캔씨</t>
    </r>
    <r>
      <rPr>
        <sz val="11"/>
        <rFont val="맑은 고딕"/>
        <family val="3"/>
        <charset val="129"/>
      </rPr>
      <t>Turkey1881</t>
    </r>
  </si>
  <si>
    <r>
      <rPr>
        <sz val="11"/>
        <rFont val="Noto Sans CJK SC"/>
        <family val="2"/>
      </rPr>
      <t>자르반</t>
    </r>
    <r>
      <rPr>
        <sz val="11"/>
        <rFont val="맑은 고딕"/>
        <family val="3"/>
        <charset val="129"/>
      </rPr>
      <t>84</t>
    </r>
    <r>
      <rPr>
        <sz val="11"/>
        <rFont val="Noto Sans CJK SC"/>
        <family val="2"/>
      </rPr>
      <t>세</t>
    </r>
  </si>
  <si>
    <t>독초치이입</t>
  </si>
  <si>
    <r>
      <rPr>
        <sz val="11"/>
        <rFont val="Noto Sans CJK SC"/>
        <family val="2"/>
      </rPr>
      <t>독레인</t>
    </r>
    <r>
      <rPr>
        <sz val="11"/>
        <rFont val="맑은 고딕"/>
        <family val="3"/>
        <charset val="129"/>
      </rPr>
      <t>-InfernoRain</t>
    </r>
  </si>
  <si>
    <t>📦 월별 보관 — 2026-06  (날짜별 길드전 랭킹 누적)</t>
  </si>
  <si>
    <t>날짜</t>
  </si>
  <si>
    <t>📦 월별 보관 — 2026-07  (날짜별 길드전 랭킹 누적)</t>
  </si>
  <si>
    <t>단계 기준표  (점수 → 단계 자동분류 기준)</t>
  </si>
  <si>
    <t>하한점수</t>
  </si>
  <si>
    <t>점수 범위</t>
  </si>
  <si>
    <t>0 ~ 38,000</t>
  </si>
  <si>
    <t>38,001 ~ 145,000</t>
  </si>
  <si>
    <t>145,001 ~ 550,000</t>
  </si>
  <si>
    <t>550,001 ~ 650,000</t>
  </si>
  <si>
    <t>650,001 ~ 1,020,000</t>
  </si>
  <si>
    <t>1,020,001 ~ 2,280,000</t>
  </si>
  <si>
    <t>2,280,001 ~ 2,630,000</t>
  </si>
  <si>
    <t>2,630,001 ~ 7,189,999</t>
  </si>
  <si>
    <r>
      <rPr>
        <sz val="11"/>
        <rFont val="맑은 고딕"/>
        <family val="3"/>
        <charset val="129"/>
      </rPr>
      <t xml:space="preserve">7,190,000 </t>
    </r>
    <r>
      <rPr>
        <sz val="11"/>
        <rFont val="Noto Sans CJK SC"/>
        <family val="2"/>
      </rPr>
      <t>이상</t>
    </r>
  </si>
  <si>
    <t>※ 단계 셀은 VLOOKUP 근사일치로 자동 계산됩니다. 기준을 바꾸려면 위 '하한점수' 값만 수정하세요.</t>
  </si>
  <si>
    <t>-프리저-</t>
  </si>
  <si>
    <t>시바스리갈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</si>
</sst>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charset val="1"/>
    </font>
    <font>
      <b/>
      <sz val="11"/>
      <name val="Noto Sans CJK SC"/>
      <family val="2"/>
      <charset val="1"/>
    </font>
    <font>
      <b/>
      <sz val="11"/>
      <color rgb="FF1F3864"/>
      <name val="맑은 고딕"/>
      <family val="3"/>
      <charset val="129"/>
    </font>
    <font>
      <b/>
      <sz val="14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b/>
      <sz val="11"/>
      <name val="맑은 고딕"/>
      <family val="3"/>
      <charset val="129"/>
    </font>
    <font>
      <b/>
      <sz val="11"/>
      <name val="Noto Sans CJK SC"/>
      <family val="2"/>
    </font>
    <font>
      <sz val="11"/>
      <name val="Noto Sans CJK SC"/>
      <family val="2"/>
    </font>
    <font>
      <b/>
      <sz val="13"/>
      <color rgb="FFFFFFFF"/>
      <name val="Noto Sans CJK SC"/>
      <family val="2"/>
      <charset val="1"/>
    </font>
    <font>
      <i/>
      <sz val="9"/>
      <color rgb="FFC00000"/>
      <name val="Noto Sans CJK SC"/>
      <family val="2"/>
      <charset val="1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D966"/>
        <bgColor rgb="FFFFD9B3"/>
      </patternFill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305496"/>
        <bgColor rgb="FF1F3864"/>
      </patternFill>
    </fill>
    <fill>
      <patternFill patternType="solid">
        <fgColor rgb="FFFFC7CE"/>
        <bgColor rgb="FFFFD9B3"/>
      </patternFill>
    </fill>
    <fill>
      <patternFill patternType="solid">
        <fgColor rgb="FFFFD9B3"/>
        <bgColor rgb="FFFFC7CE"/>
      </patternFill>
    </fill>
    <fill>
      <patternFill patternType="solid">
        <fgColor rgb="FFFFF2CC"/>
        <bgColor rgb="FFFFFFB3"/>
      </patternFill>
    </fill>
    <fill>
      <patternFill patternType="solid">
        <fgColor rgb="FFFFFFB3"/>
        <bgColor rgb="FFFFF2CC"/>
      </patternFill>
    </fill>
    <fill>
      <patternFill patternType="solid">
        <fgColor rgb="FFE2EFDA"/>
        <bgColor rgb="FFF2F2F2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9DC3E6"/>
        <bgColor rgb="FFBDD7EE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3" fontId="5" fillId="0" borderId="3" xfId="0" applyNumberFormat="1" applyFont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7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0" fontId="7" fillId="13" borderId="3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10" fillId="4" borderId="0" xfId="0" applyFont="1" applyFill="1" applyAlignment="1">
      <alignment horizontal="center" vertical="center"/>
    </xf>
    <xf numFmtId="0" fontId="11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B3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A"/>
      <rgbColor rgb="FFFFF2CC"/>
      <rgbColor rgb="FF9DC3E6"/>
      <rgbColor rgb="FFFFC7CE"/>
      <rgbColor rgb="FFC6E0B4"/>
      <rgbColor rgb="FFFFD9B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44600;&#46300;&#51204;_&#50629;&#47196;&#46300;_&#54028;&#51068;_01.xlsx" TargetMode="External"/><Relationship Id="rId2" Type="http://schemas.openxmlformats.org/officeDocument/2006/relationships/externalLinkPath" Target="file:///C:\Users\MJ\Downloads\Rank_cap\&#44600;&#46300;&#51204;_&#50629;&#47196;&#46300;_&#54028;&#51068;_01.xlsx" TargetMode="External"/><Relationship Id="rId1" Type="http://schemas.openxmlformats.org/officeDocument/2006/relationships/externalLinkPath" Target="/Users/MJ/Downloads/Rank_cap/&#44600;&#46300;&#51204;_&#50629;&#47196;&#46300;_&#54028;&#51068;_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사용안내"/>
      <sheetName val="월요일"/>
      <sheetName val="화요일"/>
      <sheetName val="수요일"/>
      <sheetName val="목요일"/>
      <sheetName val="금요일"/>
      <sheetName val="토요일"/>
      <sheetName val="2026-06"/>
      <sheetName val="2026-07"/>
      <sheetName val="기준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0</v>
          </cell>
          <cell r="C4" t="str">
            <v>1단계</v>
          </cell>
        </row>
        <row r="5">
          <cell r="B5">
            <v>38001</v>
          </cell>
          <cell r="C5" t="str">
            <v>2단계</v>
          </cell>
        </row>
        <row r="6">
          <cell r="B6">
            <v>145001</v>
          </cell>
          <cell r="C6" t="str">
            <v>3단계</v>
          </cell>
        </row>
        <row r="7">
          <cell r="B7">
            <v>550001</v>
          </cell>
          <cell r="C7" t="str">
            <v>4단계</v>
          </cell>
        </row>
        <row r="8">
          <cell r="B8">
            <v>650001</v>
          </cell>
          <cell r="C8" t="str">
            <v>5단계</v>
          </cell>
        </row>
        <row r="9">
          <cell r="B9">
            <v>1020001</v>
          </cell>
          <cell r="C9" t="str">
            <v>6단계</v>
          </cell>
        </row>
        <row r="10">
          <cell r="B10">
            <v>2280001</v>
          </cell>
          <cell r="C10" t="str">
            <v>7단계</v>
          </cell>
        </row>
        <row r="11">
          <cell r="B11">
            <v>2630001</v>
          </cell>
          <cell r="C11" t="str">
            <v>8단계</v>
          </cell>
        </row>
        <row r="12">
          <cell r="B12">
            <v>7190000</v>
          </cell>
          <cell r="C12" t="str">
            <v>9단계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6" t="s">
        <v>1</v>
      </c>
      <c r="D1" s="26"/>
      <c r="E1" s="26"/>
    </row>
    <row r="2" spans="2:8" ht="18" customHeight="1">
      <c r="B2" s="25" t="s">
        <v>2</v>
      </c>
      <c r="C2" s="25"/>
      <c r="D2" s="25"/>
      <c r="E2" s="25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>
        <v>1</v>
      </c>
      <c r="C4" s="4" t="s">
        <v>9</v>
      </c>
      <c r="D4" s="5">
        <v>76513151</v>
      </c>
      <c r="E4" s="6" t="str">
        <f>IF($D4="","",VLOOKUP($D4,기준표!$B$4:$C$12,2,TRUE()))</f>
        <v>9단계</v>
      </c>
      <c r="G4" s="7" t="s">
        <v>10</v>
      </c>
      <c r="H4" s="3">
        <f t="shared" ref="H4:H12" si="0">COUNTIF($E$4:$E$73,G4)</f>
        <v>44</v>
      </c>
    </row>
    <row r="5" spans="2:8" ht="16.5" customHeight="1">
      <c r="B5" s="3">
        <v>2</v>
      </c>
      <c r="C5" s="8" t="s">
        <v>11</v>
      </c>
      <c r="D5" s="5">
        <v>62254586</v>
      </c>
      <c r="E5" s="6" t="str">
        <f>IF($D5="","",VLOOKUP($D5,기준표!$B$4:$C$12,2,TRUE()))</f>
        <v>9단계</v>
      </c>
      <c r="G5" s="7" t="s">
        <v>12</v>
      </c>
      <c r="H5" s="3">
        <f t="shared" si="0"/>
        <v>15</v>
      </c>
    </row>
    <row r="6" spans="2:8" ht="16.5" customHeight="1">
      <c r="B6" s="3">
        <v>3</v>
      </c>
      <c r="C6" s="4" t="s">
        <v>13</v>
      </c>
      <c r="D6" s="5">
        <v>36598969</v>
      </c>
      <c r="E6" s="6" t="str">
        <f>IF($D6="","",VLOOKUP($D6,기준표!$B$4:$C$12,2,TRUE()))</f>
        <v>9단계</v>
      </c>
      <c r="G6" s="7" t="s">
        <v>14</v>
      </c>
      <c r="H6" s="3">
        <f t="shared" si="0"/>
        <v>0</v>
      </c>
    </row>
    <row r="7" spans="2:8" ht="16.5" customHeight="1">
      <c r="B7" s="3">
        <v>4</v>
      </c>
      <c r="C7" s="4" t="s">
        <v>15</v>
      </c>
      <c r="D7" s="5">
        <v>26859795</v>
      </c>
      <c r="E7" s="6" t="str">
        <f>IF($D7="","",VLOOKUP($D7,기준표!$B$4:$C$12,2,TRUE()))</f>
        <v>9단계</v>
      </c>
      <c r="G7" s="7" t="s">
        <v>16</v>
      </c>
      <c r="H7" s="3">
        <f t="shared" si="0"/>
        <v>7</v>
      </c>
    </row>
    <row r="8" spans="2:8" ht="16.5" customHeight="1">
      <c r="B8" s="3">
        <v>5</v>
      </c>
      <c r="C8" s="4" t="s">
        <v>17</v>
      </c>
      <c r="D8" s="5">
        <v>22027625</v>
      </c>
      <c r="E8" s="6" t="str">
        <f>IF($D8="","",VLOOKUP($D8,기준표!$B$4:$C$12,2,TRUE()))</f>
        <v>9단계</v>
      </c>
      <c r="G8" s="7" t="s">
        <v>18</v>
      </c>
      <c r="H8" s="3">
        <f t="shared" si="0"/>
        <v>0</v>
      </c>
    </row>
    <row r="9" spans="2:8" ht="16.5" customHeight="1">
      <c r="B9" s="3">
        <v>6</v>
      </c>
      <c r="C9" s="4" t="s">
        <v>19</v>
      </c>
      <c r="D9" s="5">
        <v>19336746</v>
      </c>
      <c r="E9" s="6" t="str">
        <f>IF($D9="","",VLOOKUP($D9,기준표!$B$4:$C$12,2,TRUE()))</f>
        <v>9단계</v>
      </c>
      <c r="G9" s="7" t="s">
        <v>20</v>
      </c>
      <c r="H9" s="3">
        <f t="shared" si="0"/>
        <v>0</v>
      </c>
    </row>
    <row r="10" spans="2:8" ht="16.5" customHeight="1">
      <c r="B10" s="3">
        <v>7</v>
      </c>
      <c r="C10" s="8" t="s">
        <v>21</v>
      </c>
      <c r="D10" s="5">
        <v>17008882</v>
      </c>
      <c r="E10" s="6" t="str">
        <f>IF($D10="","",VLOOKUP($D10,기준표!$B$4:$C$12,2,TRUE()))</f>
        <v>9단계</v>
      </c>
      <c r="G10" s="7" t="s">
        <v>22</v>
      </c>
      <c r="H10" s="3">
        <f t="shared" si="0"/>
        <v>1</v>
      </c>
    </row>
    <row r="11" spans="2:8" ht="16.5" customHeight="1">
      <c r="B11" s="3">
        <v>8</v>
      </c>
      <c r="C11" s="4" t="s">
        <v>23</v>
      </c>
      <c r="D11" s="5">
        <v>16620269</v>
      </c>
      <c r="E11" s="6" t="str">
        <f>IF($D11="","",VLOOKUP($D11,기준표!$B$4:$C$12,2,TRUE()))</f>
        <v>9단계</v>
      </c>
      <c r="G11" s="7" t="s">
        <v>24</v>
      </c>
      <c r="H11" s="3">
        <f t="shared" si="0"/>
        <v>0</v>
      </c>
    </row>
    <row r="12" spans="2:8" ht="16.5" customHeight="1">
      <c r="B12" s="3">
        <v>9</v>
      </c>
      <c r="C12" s="4" t="s">
        <v>25</v>
      </c>
      <c r="D12" s="5">
        <v>15971399</v>
      </c>
      <c r="E12" s="6" t="str">
        <f>IF($D12="","",VLOOKUP($D12,기준표!$B$4:$C$12,2,TRUE()))</f>
        <v>9단계</v>
      </c>
      <c r="G12" s="7" t="s">
        <v>26</v>
      </c>
      <c r="H12" s="3">
        <f t="shared" si="0"/>
        <v>0</v>
      </c>
    </row>
    <row r="13" spans="2:8" ht="16.5" customHeight="1">
      <c r="B13" s="3">
        <v>10</v>
      </c>
      <c r="C13" s="4" t="s">
        <v>27</v>
      </c>
      <c r="D13" s="5">
        <v>15579579</v>
      </c>
      <c r="E13" s="6" t="str">
        <f>IF($D13="","",VLOOKUP($D13,기준표!$B$4:$C$12,2,TRUE()))</f>
        <v>9단계</v>
      </c>
      <c r="G13" s="9" t="s">
        <v>28</v>
      </c>
      <c r="H13" s="6">
        <f>COUNTA($C$4:$C$73)</f>
        <v>67</v>
      </c>
    </row>
    <row r="14" spans="2:8" ht="16.5" customHeight="1">
      <c r="B14" s="3">
        <v>11</v>
      </c>
      <c r="C14" s="4" t="s">
        <v>29</v>
      </c>
      <c r="D14" s="5">
        <v>15166835</v>
      </c>
      <c r="E14" s="6" t="str">
        <f>IF($D14="","",VLOOKUP($D14,기준표!$B$4:$C$12,2,TRUE()))</f>
        <v>9단계</v>
      </c>
      <c r="G14" s="9" t="s">
        <v>30</v>
      </c>
      <c r="H14" s="10">
        <f>SUM($D$4:$D$73)</f>
        <v>714364306</v>
      </c>
    </row>
    <row r="15" spans="2:8" ht="16.5" customHeight="1">
      <c r="B15" s="3">
        <v>12</v>
      </c>
      <c r="C15" s="4" t="s">
        <v>31</v>
      </c>
      <c r="D15" s="5">
        <v>15136017</v>
      </c>
      <c r="E15" s="6" t="str">
        <f>IF($D15="","",VLOOKUP($D15,기준표!$B$4:$C$12,2,TRUE()))</f>
        <v>9단계</v>
      </c>
    </row>
    <row r="16" spans="2:8" ht="16.5" customHeight="1">
      <c r="B16" s="3">
        <v>13</v>
      </c>
      <c r="C16" s="4" t="s">
        <v>32</v>
      </c>
      <c r="D16" s="5">
        <v>15045625</v>
      </c>
      <c r="E16" s="6" t="str">
        <f>IF($D16="","",VLOOKUP($D16,기준표!$B$4:$C$12,2,TRUE()))</f>
        <v>9단계</v>
      </c>
    </row>
    <row r="17" spans="2:5" ht="16.5" customHeight="1">
      <c r="B17" s="3">
        <v>14</v>
      </c>
      <c r="C17" s="4" t="s">
        <v>33</v>
      </c>
      <c r="D17" s="5">
        <v>11929975</v>
      </c>
      <c r="E17" s="6" t="str">
        <f>IF($D17="","",VLOOKUP($D17,기준표!$B$4:$C$12,2,TRUE()))</f>
        <v>9단계</v>
      </c>
    </row>
    <row r="18" spans="2:5" ht="16.5" customHeight="1">
      <c r="B18" s="3">
        <v>15</v>
      </c>
      <c r="C18" s="4" t="s">
        <v>34</v>
      </c>
      <c r="D18" s="5">
        <v>11703867</v>
      </c>
      <c r="E18" s="6" t="str">
        <f>IF($D18="","",VLOOKUP($D18,기준표!$B$4:$C$12,2,TRUE()))</f>
        <v>9단계</v>
      </c>
    </row>
    <row r="19" spans="2:5" ht="16.5" customHeight="1">
      <c r="B19" s="3">
        <v>16</v>
      </c>
      <c r="C19" s="4" t="s">
        <v>35</v>
      </c>
      <c r="D19" s="5">
        <v>11641804</v>
      </c>
      <c r="E19" s="6" t="str">
        <f>IF($D19="","",VLOOKUP($D19,기준표!$B$4:$C$12,2,TRUE()))</f>
        <v>9단계</v>
      </c>
    </row>
    <row r="20" spans="2:5" ht="16.5" customHeight="1">
      <c r="B20" s="3">
        <v>17</v>
      </c>
      <c r="C20" s="4" t="s">
        <v>36</v>
      </c>
      <c r="D20" s="5">
        <v>11224132</v>
      </c>
      <c r="E20" s="6" t="str">
        <f>IF($D20="","",VLOOKUP($D20,기준표!$B$4:$C$12,2,TRUE()))</f>
        <v>9단계</v>
      </c>
    </row>
    <row r="21" spans="2:5" ht="16.5" customHeight="1">
      <c r="B21" s="3">
        <v>18</v>
      </c>
      <c r="C21" s="4" t="s">
        <v>37</v>
      </c>
      <c r="D21" s="5">
        <v>11128193</v>
      </c>
      <c r="E21" s="6" t="str">
        <f>IF($D21="","",VLOOKUP($D21,기준표!$B$4:$C$12,2,TRUE()))</f>
        <v>9단계</v>
      </c>
    </row>
    <row r="22" spans="2:5" ht="16.5" customHeight="1">
      <c r="B22" s="3">
        <v>19</v>
      </c>
      <c r="C22" s="4" t="s">
        <v>38</v>
      </c>
      <c r="D22" s="5">
        <v>10907771</v>
      </c>
      <c r="E22" s="6" t="str">
        <f>IF($D22="","",VLOOKUP($D22,기준표!$B$4:$C$12,2,TRUE()))</f>
        <v>9단계</v>
      </c>
    </row>
    <row r="23" spans="2:5" ht="16.5" customHeight="1">
      <c r="B23" s="3">
        <v>20</v>
      </c>
      <c r="C23" s="4" t="s">
        <v>39</v>
      </c>
      <c r="D23" s="5">
        <v>10606882</v>
      </c>
      <c r="E23" s="6" t="str">
        <f>IF($D23="","",VLOOKUP($D23,기준표!$B$4:$C$12,2,TRUE()))</f>
        <v>9단계</v>
      </c>
    </row>
    <row r="24" spans="2:5" ht="16.5" customHeight="1">
      <c r="B24" s="3">
        <v>21</v>
      </c>
      <c r="C24" s="4" t="s">
        <v>40</v>
      </c>
      <c r="D24" s="5">
        <v>10422796</v>
      </c>
      <c r="E24" s="6" t="str">
        <f>IF($D24="","",VLOOKUP($D24,기준표!$B$4:$C$12,2,TRUE()))</f>
        <v>9단계</v>
      </c>
    </row>
    <row r="25" spans="2:5" ht="16.5" customHeight="1">
      <c r="B25" s="3">
        <v>22</v>
      </c>
      <c r="C25" s="4" t="s">
        <v>41</v>
      </c>
      <c r="D25" s="5">
        <v>10412768</v>
      </c>
      <c r="E25" s="6" t="str">
        <f>IF($D25="","",VLOOKUP($D25,기준표!$B$4:$C$12,2,TRUE()))</f>
        <v>9단계</v>
      </c>
    </row>
    <row r="26" spans="2:5" ht="16.5" customHeight="1">
      <c r="B26" s="3">
        <v>23</v>
      </c>
      <c r="C26" s="4" t="s">
        <v>42</v>
      </c>
      <c r="D26" s="5">
        <v>10128124</v>
      </c>
      <c r="E26" s="6" t="str">
        <f>IF($D26="","",VLOOKUP($D26,기준표!$B$4:$C$12,2,TRUE()))</f>
        <v>9단계</v>
      </c>
    </row>
    <row r="27" spans="2:5" ht="16.5" customHeight="1">
      <c r="B27" s="3">
        <v>24</v>
      </c>
      <c r="C27" s="4" t="s">
        <v>43</v>
      </c>
      <c r="D27" s="5">
        <v>9706739</v>
      </c>
      <c r="E27" s="6" t="str">
        <f>IF($D27="","",VLOOKUP($D27,기준표!$B$4:$C$12,2,TRUE()))</f>
        <v>9단계</v>
      </c>
    </row>
    <row r="28" spans="2:5" ht="16.5" customHeight="1">
      <c r="B28" s="3">
        <v>25</v>
      </c>
      <c r="C28" s="4" t="s">
        <v>44</v>
      </c>
      <c r="D28" s="5">
        <v>9164119</v>
      </c>
      <c r="E28" s="6" t="str">
        <f>IF($D28="","",VLOOKUP($D28,기준표!$B$4:$C$12,2,TRUE()))</f>
        <v>9단계</v>
      </c>
    </row>
    <row r="29" spans="2:5" ht="16.5" customHeight="1">
      <c r="B29" s="3">
        <v>26</v>
      </c>
      <c r="C29" s="4" t="s">
        <v>45</v>
      </c>
      <c r="D29" s="5">
        <v>8999382</v>
      </c>
      <c r="E29" s="6" t="str">
        <f>IF($D29="","",VLOOKUP($D29,기준표!$B$4:$C$12,2,TRUE()))</f>
        <v>9단계</v>
      </c>
    </row>
    <row r="30" spans="2:5" ht="16.5" customHeight="1">
      <c r="B30" s="3">
        <v>27</v>
      </c>
      <c r="C30" s="4" t="s">
        <v>46</v>
      </c>
      <c r="D30" s="5">
        <v>8596217</v>
      </c>
      <c r="E30" s="6" t="str">
        <f>IF($D30="","",VLOOKUP($D30,기준표!$B$4:$C$12,2,TRUE()))</f>
        <v>9단계</v>
      </c>
    </row>
    <row r="31" spans="2:5" ht="16.5" customHeight="1">
      <c r="B31" s="3">
        <v>28</v>
      </c>
      <c r="C31" s="4" t="s">
        <v>47</v>
      </c>
      <c r="D31" s="5">
        <v>8456726</v>
      </c>
      <c r="E31" s="6" t="str">
        <f>IF($D31="","",VLOOKUP($D31,기준표!$B$4:$C$12,2,TRUE()))</f>
        <v>9단계</v>
      </c>
    </row>
    <row r="32" spans="2:5" ht="16.5" customHeight="1">
      <c r="B32" s="3">
        <v>29</v>
      </c>
      <c r="C32" s="4" t="s">
        <v>48</v>
      </c>
      <c r="D32" s="5">
        <v>8220352</v>
      </c>
      <c r="E32" s="6" t="str">
        <f>IF($D32="","",VLOOKUP($D32,기준표!$B$4:$C$12,2,TRUE()))</f>
        <v>9단계</v>
      </c>
    </row>
    <row r="33" spans="2:5" ht="16.5" customHeight="1">
      <c r="B33" s="3">
        <v>30</v>
      </c>
      <c r="C33" s="4" t="s">
        <v>49</v>
      </c>
      <c r="D33" s="5">
        <v>8154156</v>
      </c>
      <c r="E33" s="6" t="str">
        <f>IF($D33="","",VLOOKUP($D33,기준표!$B$4:$C$12,2,TRUE()))</f>
        <v>9단계</v>
      </c>
    </row>
    <row r="34" spans="2:5" ht="16.5" customHeight="1">
      <c r="B34" s="3">
        <v>31</v>
      </c>
      <c r="C34" s="4" t="s">
        <v>50</v>
      </c>
      <c r="D34" s="5">
        <v>8127020</v>
      </c>
      <c r="E34" s="6" t="str">
        <f>IF($D34="","",VLOOKUP($D34,기준표!$B$4:$C$12,2,TRUE()))</f>
        <v>9단계</v>
      </c>
    </row>
    <row r="35" spans="2:5" ht="16.5" customHeight="1">
      <c r="B35" s="3">
        <v>32</v>
      </c>
      <c r="C35" s="4" t="s">
        <v>51</v>
      </c>
      <c r="D35" s="5">
        <v>7952273</v>
      </c>
      <c r="E35" s="6" t="str">
        <f>IF($D35="","",VLOOKUP($D35,기준표!$B$4:$C$12,2,TRUE()))</f>
        <v>9단계</v>
      </c>
    </row>
    <row r="36" spans="2:5" ht="16.5" customHeight="1">
      <c r="B36" s="3">
        <v>33</v>
      </c>
      <c r="C36" s="4" t="s">
        <v>52</v>
      </c>
      <c r="D36" s="5">
        <v>7918857</v>
      </c>
      <c r="E36" s="6" t="str">
        <f>IF($D36="","",VLOOKUP($D36,기준표!$B$4:$C$12,2,TRUE()))</f>
        <v>9단계</v>
      </c>
    </row>
    <row r="37" spans="2:5" ht="16.5" customHeight="1">
      <c r="B37" s="3">
        <v>34</v>
      </c>
      <c r="C37" s="4" t="s">
        <v>53</v>
      </c>
      <c r="D37" s="5">
        <v>7909501</v>
      </c>
      <c r="E37" s="6" t="str">
        <f>IF($D37="","",VLOOKUP($D37,기준표!$B$4:$C$12,2,TRUE()))</f>
        <v>9단계</v>
      </c>
    </row>
    <row r="38" spans="2:5" ht="16.5" customHeight="1">
      <c r="B38" s="3">
        <v>35</v>
      </c>
      <c r="C38" s="4" t="s">
        <v>54</v>
      </c>
      <c r="D38" s="5">
        <v>7876636</v>
      </c>
      <c r="E38" s="6" t="str">
        <f>IF($D38="","",VLOOKUP($D38,기준표!$B$4:$C$12,2,TRUE()))</f>
        <v>9단계</v>
      </c>
    </row>
    <row r="39" spans="2:5" ht="16.5" customHeight="1">
      <c r="B39" s="3">
        <v>36</v>
      </c>
      <c r="C39" s="4" t="s">
        <v>55</v>
      </c>
      <c r="D39" s="5">
        <v>7824653</v>
      </c>
      <c r="E39" s="6" t="str">
        <f>IF($D39="","",VLOOKUP($D39,기준표!$B$4:$C$12,2,TRUE()))</f>
        <v>9단계</v>
      </c>
    </row>
    <row r="40" spans="2:5" ht="16.5" customHeight="1">
      <c r="B40" s="3">
        <v>37</v>
      </c>
      <c r="C40" s="4" t="s">
        <v>56</v>
      </c>
      <c r="D40" s="5">
        <v>7823884</v>
      </c>
      <c r="E40" s="6" t="str">
        <f>IF($D40="","",VLOOKUP($D40,기준표!$B$4:$C$12,2,TRUE()))</f>
        <v>9단계</v>
      </c>
    </row>
    <row r="41" spans="2:5" ht="16.5" customHeight="1">
      <c r="B41" s="3">
        <v>38</v>
      </c>
      <c r="C41" s="4" t="s">
        <v>57</v>
      </c>
      <c r="D41" s="5">
        <v>7679597</v>
      </c>
      <c r="E41" s="6" t="str">
        <f>IF($D41="","",VLOOKUP($D41,기준표!$B$4:$C$12,2,TRUE()))</f>
        <v>9단계</v>
      </c>
    </row>
    <row r="42" spans="2:5" ht="16.5" customHeight="1">
      <c r="B42" s="3">
        <v>39</v>
      </c>
      <c r="C42" s="4" t="s">
        <v>58</v>
      </c>
      <c r="D42" s="5">
        <v>7635056</v>
      </c>
      <c r="E42" s="6" t="str">
        <f>IF($D42="","",VLOOKUP($D42,기준표!$B$4:$C$12,2,TRUE()))</f>
        <v>9단계</v>
      </c>
    </row>
    <row r="43" spans="2:5" ht="16.5" customHeight="1">
      <c r="B43" s="3">
        <v>40</v>
      </c>
      <c r="C43" s="4" t="s">
        <v>59</v>
      </c>
      <c r="D43" s="5">
        <v>7579677</v>
      </c>
      <c r="E43" s="6" t="str">
        <f>IF($D43="","",VLOOKUP($D43,기준표!$B$4:$C$12,2,TRUE()))</f>
        <v>9단계</v>
      </c>
    </row>
    <row r="44" spans="2:5" ht="16.5" customHeight="1">
      <c r="B44" s="3">
        <v>41</v>
      </c>
      <c r="C44" s="4" t="s">
        <v>60</v>
      </c>
      <c r="D44" s="5">
        <v>7552044</v>
      </c>
      <c r="E44" s="6" t="str">
        <f>IF($D44="","",VLOOKUP($D44,기준표!$B$4:$C$12,2,TRUE()))</f>
        <v>9단계</v>
      </c>
    </row>
    <row r="45" spans="2:5" ht="16.5" customHeight="1">
      <c r="B45" s="3">
        <v>42</v>
      </c>
      <c r="C45" s="4" t="s">
        <v>61</v>
      </c>
      <c r="D45" s="5">
        <v>7462230</v>
      </c>
      <c r="E45" s="6" t="str">
        <f>IF($D45="","",VLOOKUP($D45,기준표!$B$4:$C$12,2,TRUE()))</f>
        <v>9단계</v>
      </c>
    </row>
    <row r="46" spans="2:5" ht="16.5" customHeight="1">
      <c r="B46" s="3">
        <v>43</v>
      </c>
      <c r="C46" s="4" t="s">
        <v>62</v>
      </c>
      <c r="D46" s="5">
        <v>7423633</v>
      </c>
      <c r="E46" s="6" t="str">
        <f>IF($D46="","",VLOOKUP($D46,기준표!$B$4:$C$12,2,TRUE()))</f>
        <v>9단계</v>
      </c>
    </row>
    <row r="47" spans="2:5" ht="16.5" customHeight="1">
      <c r="B47" s="3">
        <v>44</v>
      </c>
      <c r="C47" s="4" t="s">
        <v>63</v>
      </c>
      <c r="D47" s="5">
        <v>7327050</v>
      </c>
      <c r="E47" s="6" t="str">
        <f>IF($D47="","",VLOOKUP($D47,기준표!$B$4:$C$12,2,TRUE()))</f>
        <v>9단계</v>
      </c>
    </row>
    <row r="48" spans="2:5" ht="16.5" customHeight="1">
      <c r="B48" s="3">
        <v>45</v>
      </c>
      <c r="C48" s="4" t="s">
        <v>64</v>
      </c>
      <c r="D48" s="5">
        <v>6678842</v>
      </c>
      <c r="E48" s="6" t="str">
        <f>IF($D48="","",VLOOKUP($D48,기준표!$B$4:$C$12,2,TRUE()))</f>
        <v>8단계</v>
      </c>
    </row>
    <row r="49" spans="2:5" ht="16.5" customHeight="1">
      <c r="B49" s="3">
        <v>46</v>
      </c>
      <c r="C49" s="4" t="s">
        <v>65</v>
      </c>
      <c r="D49" s="5">
        <v>6177989</v>
      </c>
      <c r="E49" s="6" t="str">
        <f>IF($D49="","",VLOOKUP($D49,기준표!$B$4:$C$12,2,TRUE()))</f>
        <v>8단계</v>
      </c>
    </row>
    <row r="50" spans="2:5" ht="16.5" customHeight="1">
      <c r="B50" s="3">
        <v>47</v>
      </c>
      <c r="C50" s="4" t="s">
        <v>66</v>
      </c>
      <c r="D50" s="5">
        <v>5901298</v>
      </c>
      <c r="E50" s="6" t="str">
        <f>IF($D50="","",VLOOKUP($D50,기준표!$B$4:$C$12,2,TRUE()))</f>
        <v>8단계</v>
      </c>
    </row>
    <row r="51" spans="2:5" ht="16.5" customHeight="1">
      <c r="B51" s="3">
        <v>48</v>
      </c>
      <c r="C51" s="4" t="s">
        <v>67</v>
      </c>
      <c r="D51" s="5">
        <v>5097585</v>
      </c>
      <c r="E51" s="6" t="str">
        <f>IF($D51="","",VLOOKUP($D51,기준표!$B$4:$C$12,2,TRUE()))</f>
        <v>8단계</v>
      </c>
    </row>
    <row r="52" spans="2:5" ht="16.5" customHeight="1">
      <c r="B52" s="3">
        <v>49</v>
      </c>
      <c r="C52" s="4" t="s">
        <v>68</v>
      </c>
      <c r="D52" s="5">
        <v>5036088</v>
      </c>
      <c r="E52" s="6" t="str">
        <f>IF($D52="","",VLOOKUP($D52,기준표!$B$4:$C$12,2,TRUE()))</f>
        <v>8단계</v>
      </c>
    </row>
    <row r="53" spans="2:5" ht="16.5" customHeight="1">
      <c r="B53" s="3">
        <v>50</v>
      </c>
      <c r="C53" s="4" t="s">
        <v>69</v>
      </c>
      <c r="D53" s="5">
        <v>4821347</v>
      </c>
      <c r="E53" s="6" t="str">
        <f>IF($D53="","",VLOOKUP($D53,기준표!$B$4:$C$12,2,TRUE()))</f>
        <v>8단계</v>
      </c>
    </row>
    <row r="54" spans="2:5" ht="16.5" customHeight="1">
      <c r="B54" s="3">
        <v>51</v>
      </c>
      <c r="C54" s="4" t="s">
        <v>70</v>
      </c>
      <c r="D54" s="5">
        <v>4599953</v>
      </c>
      <c r="E54" s="6" t="str">
        <f>IF($D54="","",VLOOKUP($D54,기준표!$B$4:$C$12,2,TRUE()))</f>
        <v>8단계</v>
      </c>
    </row>
    <row r="55" spans="2:5" ht="16.5" customHeight="1">
      <c r="B55" s="3">
        <v>52</v>
      </c>
      <c r="C55" s="4" t="s">
        <v>71</v>
      </c>
      <c r="D55" s="5">
        <v>4332112</v>
      </c>
      <c r="E55" s="6" t="str">
        <f>IF($D55="","",VLOOKUP($D55,기준표!$B$4:$C$12,2,TRUE()))</f>
        <v>8단계</v>
      </c>
    </row>
    <row r="56" spans="2:5" ht="16.5" customHeight="1">
      <c r="B56" s="3">
        <v>53</v>
      </c>
      <c r="C56" s="4" t="s">
        <v>72</v>
      </c>
      <c r="D56" s="5">
        <v>4235009</v>
      </c>
      <c r="E56" s="6" t="str">
        <f>IF($D56="","",VLOOKUP($D56,기준표!$B$4:$C$12,2,TRUE()))</f>
        <v>8단계</v>
      </c>
    </row>
    <row r="57" spans="2:5" ht="16.5" customHeight="1">
      <c r="B57" s="3">
        <v>54</v>
      </c>
      <c r="C57" s="4" t="s">
        <v>73</v>
      </c>
      <c r="D57" s="5">
        <v>4226803</v>
      </c>
      <c r="E57" s="6" t="str">
        <f>IF($D57="","",VLOOKUP($D57,기준표!$B$4:$C$12,2,TRUE()))</f>
        <v>8단계</v>
      </c>
    </row>
    <row r="58" spans="2:5" ht="16.5" customHeight="1">
      <c r="B58" s="3">
        <v>55</v>
      </c>
      <c r="C58" s="4" t="s">
        <v>74</v>
      </c>
      <c r="D58" s="5">
        <v>3992666</v>
      </c>
      <c r="E58" s="6" t="str">
        <f>IF($D58="","",VLOOKUP($D58,기준표!$B$4:$C$12,2,TRUE()))</f>
        <v>8단계</v>
      </c>
    </row>
    <row r="59" spans="2:5" ht="16.5" customHeight="1">
      <c r="B59" s="3">
        <v>56</v>
      </c>
      <c r="C59" s="4" t="s">
        <v>75</v>
      </c>
      <c r="D59" s="5">
        <v>3935236</v>
      </c>
      <c r="E59" s="6" t="str">
        <f>IF($D59="","",VLOOKUP($D59,기준표!$B$4:$C$12,2,TRUE()))</f>
        <v>8단계</v>
      </c>
    </row>
    <row r="60" spans="2:5" ht="16.5" customHeight="1">
      <c r="B60" s="3">
        <v>57</v>
      </c>
      <c r="C60" s="4" t="s">
        <v>76</v>
      </c>
      <c r="D60" s="5">
        <v>3819189</v>
      </c>
      <c r="E60" s="6" t="str">
        <f>IF($D60="","",VLOOKUP($D60,기준표!$B$4:$C$12,2,TRUE()))</f>
        <v>8단계</v>
      </c>
    </row>
    <row r="61" spans="2:5" ht="16.5" customHeight="1">
      <c r="B61" s="3">
        <v>58</v>
      </c>
      <c r="C61" s="4" t="s">
        <v>77</v>
      </c>
      <c r="D61" s="5">
        <v>2896389</v>
      </c>
      <c r="E61" s="6" t="str">
        <f>IF($D61="","",VLOOKUP($D61,기준표!$B$4:$C$12,2,TRUE()))</f>
        <v>8단계</v>
      </c>
    </row>
    <row r="62" spans="2:5" ht="16.5" customHeight="1">
      <c r="B62" s="3">
        <v>59</v>
      </c>
      <c r="C62" s="4" t="s">
        <v>78</v>
      </c>
      <c r="D62" s="5">
        <v>2645896</v>
      </c>
      <c r="E62" s="6" t="str">
        <f>IF($D62="","",VLOOKUP($D62,기준표!$B$4:$C$12,2,TRUE()))</f>
        <v>8단계</v>
      </c>
    </row>
    <row r="63" spans="2:5" ht="16.5" customHeight="1">
      <c r="B63" s="3">
        <v>60</v>
      </c>
      <c r="C63" s="8" t="s">
        <v>79</v>
      </c>
      <c r="D63" s="5">
        <v>2195612</v>
      </c>
      <c r="E63" s="6" t="str">
        <f>IF($D63="","",VLOOKUP($D63,기준표!$B$4:$C$12,2,TRUE()))</f>
        <v>6단계</v>
      </c>
    </row>
    <row r="64" spans="2:5" ht="16.5" customHeight="1">
      <c r="B64" s="3">
        <v>61</v>
      </c>
      <c r="C64" s="4" t="s">
        <v>80</v>
      </c>
      <c r="D64" s="5">
        <v>1908787</v>
      </c>
      <c r="E64" s="6" t="str">
        <f>IF($D64="","",VLOOKUP($D64,기준표!$B$4:$C$12,2,TRUE()))</f>
        <v>6단계</v>
      </c>
    </row>
    <row r="65" spans="2:5" ht="16.5" customHeight="1">
      <c r="B65" s="3">
        <v>62</v>
      </c>
      <c r="C65" s="4" t="s">
        <v>81</v>
      </c>
      <c r="D65" s="5">
        <v>1890847</v>
      </c>
      <c r="E65" s="6" t="str">
        <f>IF($D65="","",VLOOKUP($D65,기준표!$B$4:$C$12,2,TRUE()))</f>
        <v>6단계</v>
      </c>
    </row>
    <row r="66" spans="2:5" ht="16.5" customHeight="1">
      <c r="B66" s="3">
        <v>63</v>
      </c>
      <c r="C66" s="4" t="s">
        <v>82</v>
      </c>
      <c r="D66" s="5">
        <v>1772463</v>
      </c>
      <c r="E66" s="6" t="str">
        <f>IF($D66="","",VLOOKUP($D66,기준표!$B$4:$C$12,2,TRUE()))</f>
        <v>6단계</v>
      </c>
    </row>
    <row r="67" spans="2:5" ht="16.5" customHeight="1">
      <c r="B67" s="3">
        <v>64</v>
      </c>
      <c r="C67" s="4" t="s">
        <v>83</v>
      </c>
      <c r="D67" s="5">
        <v>1472500</v>
      </c>
      <c r="E67" s="6" t="str">
        <f>IF($D67="","",VLOOKUP($D67,기준표!$B$4:$C$12,2,TRUE()))</f>
        <v>6단계</v>
      </c>
    </row>
    <row r="68" spans="2:5" ht="16.5" customHeight="1">
      <c r="B68" s="3">
        <v>65</v>
      </c>
      <c r="C68" s="4" t="s">
        <v>84</v>
      </c>
      <c r="D68" s="5">
        <v>1425274</v>
      </c>
      <c r="E68" s="6" t="str">
        <f>IF($D68="","",VLOOKUP($D68,기준표!$B$4:$C$12,2,TRUE()))</f>
        <v>6단계</v>
      </c>
    </row>
    <row r="69" spans="2:5" ht="16.5" customHeight="1">
      <c r="B69" s="3">
        <v>66</v>
      </c>
      <c r="C69" s="4" t="s">
        <v>85</v>
      </c>
      <c r="D69" s="5">
        <v>1226829</v>
      </c>
      <c r="E69" s="6" t="str">
        <f>IF($D69="","",VLOOKUP($D69,기준표!$B$4:$C$12,2,TRUE()))</f>
        <v>6단계</v>
      </c>
    </row>
    <row r="70" spans="2:5" ht="16.5" customHeight="1">
      <c r="B70" s="3">
        <v>67</v>
      </c>
      <c r="C70" s="4" t="s">
        <v>86</v>
      </c>
      <c r="D70" s="5">
        <v>460000</v>
      </c>
      <c r="E70" s="6" t="str">
        <f>IF($D70="","",VLOOKUP($D70,기준표!$B$4:$C$12,2,TRUE()))</f>
        <v>3단계</v>
      </c>
    </row>
    <row r="71" spans="2:5" ht="16.5" customHeight="1">
      <c r="B71" s="3">
        <v>68</v>
      </c>
      <c r="C71" s="8"/>
      <c r="D71" s="5"/>
      <c r="E71" s="6" t="str">
        <f>IF($D71="","",VLOOKUP($D71,기준표!$B$4:$C$12,2,TRUE()))</f>
        <v/>
      </c>
    </row>
    <row r="72" spans="2:5" ht="16.5" customHeight="1">
      <c r="B72" s="3">
        <v>69</v>
      </c>
      <c r="C72" s="8"/>
      <c r="D72" s="5"/>
      <c r="E72" s="6" t="str">
        <f>IF($D72="","",VLOOKUP($D72,기준표!$B$4:$C$12,2,TRUE()))</f>
        <v/>
      </c>
    </row>
    <row r="73" spans="2:5" ht="16.5" customHeight="1">
      <c r="B73" s="3">
        <v>70</v>
      </c>
      <c r="C73" s="8"/>
      <c r="D73" s="5"/>
      <c r="E73" s="6" t="str">
        <f>IF($D73="","",VLOOKUP($D73,기준표!$B$4:$C$12,2,TRUE()))</f>
        <v/>
      </c>
    </row>
  </sheetData>
  <mergeCells count="2">
    <mergeCell ref="C1:E1"/>
    <mergeCell ref="B2:E2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:E71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6" t="s">
        <v>87</v>
      </c>
      <c r="D1" s="26"/>
      <c r="E1" s="26"/>
    </row>
    <row r="2" spans="2:8" ht="18" customHeight="1">
      <c r="B2" s="25" t="s">
        <v>88</v>
      </c>
      <c r="C2" s="25"/>
      <c r="D2" s="25"/>
      <c r="E2" s="25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>
        <v>1</v>
      </c>
      <c r="C4" s="4" t="s">
        <v>19</v>
      </c>
      <c r="D4" s="5">
        <v>15915600</v>
      </c>
      <c r="E4" s="6" t="str">
        <f>IF($D4="","",VLOOKUP($D4,[1]기준표!$B$4:$C$12,2,TRUE()))</f>
        <v>9단계</v>
      </c>
      <c r="G4" s="7" t="s">
        <v>10</v>
      </c>
      <c r="H4" s="3">
        <f t="shared" ref="H4:H12" si="0">COUNTIF($E$4:$E$73,G4)</f>
        <v>29</v>
      </c>
    </row>
    <row r="5" spans="2:8" ht="16.5" customHeight="1">
      <c r="B5" s="3">
        <v>2</v>
      </c>
      <c r="C5" s="11" t="s">
        <v>9</v>
      </c>
      <c r="D5" s="5">
        <v>12925350</v>
      </c>
      <c r="E5" s="6" t="str">
        <f>IF($D5="","",VLOOKUP($D5,[1]기준표!$B$4:$C$12,2,TRUE()))</f>
        <v>9단계</v>
      </c>
      <c r="G5" s="7" t="s">
        <v>12</v>
      </c>
      <c r="H5" s="3">
        <f t="shared" si="0"/>
        <v>29</v>
      </c>
    </row>
    <row r="6" spans="2:8" ht="16.5" customHeight="1">
      <c r="B6" s="3">
        <v>3</v>
      </c>
      <c r="C6" s="4" t="s">
        <v>44</v>
      </c>
      <c r="D6" s="5">
        <v>12016650</v>
      </c>
      <c r="E6" s="6" t="str">
        <f>IF($D6="","",VLOOKUP($D6,[1]기준표!$B$4:$C$12,2,TRUE()))</f>
        <v>9단계</v>
      </c>
      <c r="G6" s="7" t="s">
        <v>14</v>
      </c>
      <c r="H6" s="3">
        <f t="shared" si="0"/>
        <v>3</v>
      </c>
    </row>
    <row r="7" spans="2:8" ht="16.5" customHeight="1">
      <c r="B7" s="3">
        <v>4</v>
      </c>
      <c r="C7" s="4" t="s">
        <v>63</v>
      </c>
      <c r="D7" s="5">
        <v>10155600</v>
      </c>
      <c r="E7" s="6" t="str">
        <f>IF($D7="","",VLOOKUP($D7,[1]기준표!$B$4:$C$12,2,TRUE()))</f>
        <v>9단계</v>
      </c>
      <c r="G7" s="7" t="s">
        <v>16</v>
      </c>
      <c r="H7" s="3">
        <f t="shared" si="0"/>
        <v>5</v>
      </c>
    </row>
    <row r="8" spans="2:8" ht="16.5" customHeight="1">
      <c r="B8" s="3">
        <v>5</v>
      </c>
      <c r="C8" s="4" t="s">
        <v>46</v>
      </c>
      <c r="D8" s="5">
        <v>9868650</v>
      </c>
      <c r="E8" s="6" t="str">
        <f>IF($D8="","",VLOOKUP($D8,[1]기준표!$B$4:$C$12,2,TRUE()))</f>
        <v>9단계</v>
      </c>
      <c r="G8" s="7" t="s">
        <v>18</v>
      </c>
      <c r="H8" s="3">
        <f t="shared" si="0"/>
        <v>0</v>
      </c>
    </row>
    <row r="9" spans="2:8" ht="16.5" customHeight="1">
      <c r="B9" s="3">
        <v>6</v>
      </c>
      <c r="C9" s="4" t="s">
        <v>13</v>
      </c>
      <c r="D9" s="5">
        <v>9143700</v>
      </c>
      <c r="E9" s="6" t="str">
        <f>IF($D9="","",VLOOKUP($D9,[1]기준표!$B$4:$C$12,2,TRUE()))</f>
        <v>9단계</v>
      </c>
      <c r="G9" s="7" t="s">
        <v>20</v>
      </c>
      <c r="H9" s="3">
        <f t="shared" si="0"/>
        <v>0</v>
      </c>
    </row>
    <row r="10" spans="2:8" ht="16.5" customHeight="1">
      <c r="B10" s="3">
        <v>7</v>
      </c>
      <c r="C10" s="8" t="s">
        <v>130</v>
      </c>
      <c r="D10" s="5">
        <v>9141450</v>
      </c>
      <c r="E10" s="6" t="str">
        <f>IF($D10="","",VLOOKUP($D10,[1]기준표!$B$4:$C$12,2,TRUE()))</f>
        <v>9단계</v>
      </c>
      <c r="G10" s="7" t="s">
        <v>22</v>
      </c>
      <c r="H10" s="3">
        <f t="shared" si="0"/>
        <v>2</v>
      </c>
    </row>
    <row r="11" spans="2:8" ht="16.5" customHeight="1">
      <c r="B11" s="3">
        <v>8</v>
      </c>
      <c r="C11" s="4" t="s">
        <v>32</v>
      </c>
      <c r="D11" s="5">
        <v>9065250</v>
      </c>
      <c r="E11" s="6" t="str">
        <f>IF($D11="","",VLOOKUP($D11,[1]기준표!$B$4:$C$12,2,TRUE()))</f>
        <v>9단계</v>
      </c>
      <c r="G11" s="7" t="s">
        <v>24</v>
      </c>
      <c r="H11" s="3">
        <f t="shared" si="0"/>
        <v>0</v>
      </c>
    </row>
    <row r="12" spans="2:8" ht="16.5" customHeight="1">
      <c r="B12" s="3">
        <v>9</v>
      </c>
      <c r="C12" s="4" t="s">
        <v>33</v>
      </c>
      <c r="D12" s="5">
        <v>9019910</v>
      </c>
      <c r="E12" s="6" t="str">
        <f>IF($D12="","",VLOOKUP($D12,[1]기준표!$B$4:$C$12,2,TRUE()))</f>
        <v>9단계</v>
      </c>
      <c r="G12" s="7" t="s">
        <v>26</v>
      </c>
      <c r="H12" s="3">
        <f t="shared" si="0"/>
        <v>0</v>
      </c>
    </row>
    <row r="13" spans="2:8" ht="16.5" customHeight="1">
      <c r="B13" s="3">
        <v>10</v>
      </c>
      <c r="C13" s="4" t="s">
        <v>45</v>
      </c>
      <c r="D13" s="5">
        <v>9017250</v>
      </c>
      <c r="E13" s="6" t="str">
        <f>IF($D13="","",VLOOKUP($D13,[1]기준표!$B$4:$C$12,2,TRUE()))</f>
        <v>9단계</v>
      </c>
      <c r="G13" s="9" t="s">
        <v>28</v>
      </c>
      <c r="H13" s="6">
        <f>COUNTA($C$4:$C$73)</f>
        <v>68</v>
      </c>
    </row>
    <row r="14" spans="2:8" ht="16.5" customHeight="1">
      <c r="B14" s="3">
        <v>11</v>
      </c>
      <c r="C14" s="4" t="s">
        <v>29</v>
      </c>
      <c r="D14" s="5">
        <v>8908800</v>
      </c>
      <c r="E14" s="6" t="str">
        <f>IF($D14="","",VLOOKUP($D14,[1]기준표!$B$4:$C$12,2,TRUE()))</f>
        <v>9단계</v>
      </c>
      <c r="G14" s="9" t="s">
        <v>30</v>
      </c>
      <c r="H14" s="10">
        <f>SUM($D$4:$D$73)</f>
        <v>392693604</v>
      </c>
    </row>
    <row r="15" spans="2:8" ht="16.5" customHeight="1">
      <c r="B15" s="3">
        <v>12</v>
      </c>
      <c r="C15" s="4" t="s">
        <v>56</v>
      </c>
      <c r="D15" s="5">
        <v>8560398</v>
      </c>
      <c r="E15" s="6" t="str">
        <f>IF($D15="","",VLOOKUP($D15,[1]기준표!$B$4:$C$12,2,TRUE()))</f>
        <v>9단계</v>
      </c>
    </row>
    <row r="16" spans="2:8" ht="16.5" customHeight="1">
      <c r="B16" s="3">
        <v>13</v>
      </c>
      <c r="C16" s="4" t="s">
        <v>38</v>
      </c>
      <c r="D16" s="5">
        <v>8266050</v>
      </c>
      <c r="E16" s="6" t="str">
        <f>IF($D16="","",VLOOKUP($D16,[1]기준표!$B$4:$C$12,2,TRUE()))</f>
        <v>9단계</v>
      </c>
    </row>
    <row r="17" spans="2:5" ht="16.5" customHeight="1">
      <c r="B17" s="3">
        <v>14</v>
      </c>
      <c r="C17" s="4" t="s">
        <v>39</v>
      </c>
      <c r="D17" s="5">
        <v>8226750</v>
      </c>
      <c r="E17" s="6" t="str">
        <f>IF($D17="","",VLOOKUP($D17,[1]기준표!$B$4:$C$12,2,TRUE()))</f>
        <v>9단계</v>
      </c>
    </row>
    <row r="18" spans="2:5" ht="16.5" customHeight="1">
      <c r="B18" s="3">
        <v>15</v>
      </c>
      <c r="C18" s="4" t="s">
        <v>51</v>
      </c>
      <c r="D18" s="5">
        <v>8125259</v>
      </c>
      <c r="E18" s="6" t="str">
        <f>IF($D18="","",VLOOKUP($D18,[1]기준표!$B$4:$C$12,2,TRUE()))</f>
        <v>9단계</v>
      </c>
    </row>
    <row r="19" spans="2:5" ht="16.5" customHeight="1">
      <c r="B19" s="3">
        <v>16</v>
      </c>
      <c r="C19" s="4" t="s">
        <v>89</v>
      </c>
      <c r="D19" s="5">
        <v>7740750</v>
      </c>
      <c r="E19" s="6" t="str">
        <f>IF($D19="","",VLOOKUP($D19,[1]기준표!$B$4:$C$12,2,TRUE()))</f>
        <v>9단계</v>
      </c>
    </row>
    <row r="20" spans="2:5" ht="16.5" customHeight="1">
      <c r="B20" s="3">
        <v>17</v>
      </c>
      <c r="C20" s="4" t="s">
        <v>41</v>
      </c>
      <c r="D20" s="5">
        <v>7716900</v>
      </c>
      <c r="E20" s="6" t="str">
        <f>IF($D20="","",VLOOKUP($D20,[1]기준표!$B$4:$C$12,2,TRUE()))</f>
        <v>9단계</v>
      </c>
    </row>
    <row r="21" spans="2:5" ht="16.5" customHeight="1">
      <c r="B21" s="3">
        <v>18</v>
      </c>
      <c r="C21" s="4" t="s">
        <v>40</v>
      </c>
      <c r="D21" s="5">
        <v>7697397</v>
      </c>
      <c r="E21" s="6" t="str">
        <f>IF($D21="","",VLOOKUP($D21,[1]기준표!$B$4:$C$12,2,TRUE()))</f>
        <v>9단계</v>
      </c>
    </row>
    <row r="22" spans="2:5" ht="16.5" customHeight="1">
      <c r="B22" s="3">
        <v>19</v>
      </c>
      <c r="C22" s="4" t="s">
        <v>31</v>
      </c>
      <c r="D22" s="5">
        <v>7694109</v>
      </c>
      <c r="E22" s="6" t="str">
        <f>IF($D22="","",VLOOKUP($D22,[1]기준표!$B$4:$C$12,2,TRUE()))</f>
        <v>9단계</v>
      </c>
    </row>
    <row r="23" spans="2:5" ht="16.5" customHeight="1">
      <c r="B23" s="3">
        <v>20</v>
      </c>
      <c r="C23" s="4" t="s">
        <v>64</v>
      </c>
      <c r="D23" s="5">
        <v>7624294</v>
      </c>
      <c r="E23" s="6" t="str">
        <f>IF($D23="","",VLOOKUP($D23,[1]기준표!$B$4:$C$12,2,TRUE()))</f>
        <v>9단계</v>
      </c>
    </row>
    <row r="24" spans="2:5" ht="16.5" customHeight="1">
      <c r="B24" s="3">
        <v>21</v>
      </c>
      <c r="C24" s="4" t="s">
        <v>53</v>
      </c>
      <c r="D24" s="5">
        <v>7514973</v>
      </c>
      <c r="E24" s="6" t="str">
        <f>IF($D24="","",VLOOKUP($D24,[1]기준표!$B$4:$C$12,2,TRUE()))</f>
        <v>9단계</v>
      </c>
    </row>
    <row r="25" spans="2:5" ht="16.5" customHeight="1">
      <c r="B25" s="3">
        <v>22</v>
      </c>
      <c r="C25" s="4" t="s">
        <v>37</v>
      </c>
      <c r="D25" s="5">
        <v>7392720</v>
      </c>
      <c r="E25" s="6" t="str">
        <f>IF($D25="","",VLOOKUP($D25,[1]기준표!$B$4:$C$12,2,TRUE()))</f>
        <v>9단계</v>
      </c>
    </row>
    <row r="26" spans="2:5" ht="16.5" customHeight="1">
      <c r="B26" s="3">
        <v>23</v>
      </c>
      <c r="C26" s="4" t="s">
        <v>27</v>
      </c>
      <c r="D26" s="5">
        <v>7368735</v>
      </c>
      <c r="E26" s="6" t="str">
        <f>IF($D26="","",VLOOKUP($D26,[1]기준표!$B$4:$C$12,2,TRUE()))</f>
        <v>9단계</v>
      </c>
    </row>
    <row r="27" spans="2:5" ht="16.5" customHeight="1">
      <c r="B27" s="3">
        <v>24</v>
      </c>
      <c r="C27" s="4" t="s">
        <v>34</v>
      </c>
      <c r="D27" s="5">
        <v>7321500</v>
      </c>
      <c r="E27" s="6" t="str">
        <f>IF($D27="","",VLOOKUP($D27,[1]기준표!$B$4:$C$12,2,TRUE()))</f>
        <v>9단계</v>
      </c>
    </row>
    <row r="28" spans="2:5" ht="16.5" customHeight="1">
      <c r="B28" s="3">
        <v>25</v>
      </c>
      <c r="C28" s="4" t="s">
        <v>23</v>
      </c>
      <c r="D28" s="5">
        <v>7299150</v>
      </c>
      <c r="E28" s="6" t="str">
        <f>IF($D28="","",VLOOKUP($D28,[1]기준표!$B$4:$C$12,2,TRUE()))</f>
        <v>9단계</v>
      </c>
    </row>
    <row r="29" spans="2:5" ht="16.5" customHeight="1">
      <c r="B29" s="3">
        <v>26</v>
      </c>
      <c r="C29" s="4" t="s">
        <v>58</v>
      </c>
      <c r="D29" s="5">
        <v>7285842</v>
      </c>
      <c r="E29" s="6" t="str">
        <f>IF($D29="","",VLOOKUP($D29,[1]기준표!$B$4:$C$12,2,TRUE()))</f>
        <v>9단계</v>
      </c>
    </row>
    <row r="30" spans="2:5" ht="16.5" customHeight="1">
      <c r="B30" s="3">
        <v>27</v>
      </c>
      <c r="C30" s="4" t="s">
        <v>43</v>
      </c>
      <c r="D30" s="5">
        <v>7252456</v>
      </c>
      <c r="E30" s="6" t="str">
        <f>IF($D30="","",VLOOKUP($D30,[1]기준표!$B$4:$C$12,2,TRUE()))</f>
        <v>9단계</v>
      </c>
    </row>
    <row r="31" spans="2:5" ht="16.5" customHeight="1">
      <c r="B31" s="3">
        <v>28</v>
      </c>
      <c r="C31" s="4" t="s">
        <v>25</v>
      </c>
      <c r="D31" s="5">
        <v>7201676</v>
      </c>
      <c r="E31" s="6" t="str">
        <f>IF($D31="","",VLOOKUP($D31,[1]기준표!$B$4:$C$12,2,TRUE()))</f>
        <v>9단계</v>
      </c>
    </row>
    <row r="32" spans="2:5" ht="16.5" customHeight="1">
      <c r="B32" s="3">
        <v>29</v>
      </c>
      <c r="C32" s="4" t="s">
        <v>35</v>
      </c>
      <c r="D32" s="5">
        <v>7195050</v>
      </c>
      <c r="E32" s="6" t="str">
        <f>IF($D32="","",VLOOKUP($D32,[1]기준표!$B$4:$C$12,2,TRUE()))</f>
        <v>9단계</v>
      </c>
    </row>
    <row r="33" spans="2:5" ht="16.5" customHeight="1">
      <c r="B33" s="3">
        <v>30</v>
      </c>
      <c r="C33" s="4" t="s">
        <v>49</v>
      </c>
      <c r="D33" s="5">
        <v>5739081</v>
      </c>
      <c r="E33" s="6" t="str">
        <f>IF($D33="","",VLOOKUP($D33,[1]기준표!$B$4:$C$12,2,TRUE()))</f>
        <v>8단계</v>
      </c>
    </row>
    <row r="34" spans="2:5" ht="16.5" customHeight="1">
      <c r="B34" s="3">
        <v>31</v>
      </c>
      <c r="C34" s="4" t="s">
        <v>42</v>
      </c>
      <c r="D34" s="5">
        <v>5563310</v>
      </c>
      <c r="E34" s="6" t="str">
        <f>IF($D34="","",VLOOKUP($D34,[1]기준표!$B$4:$C$12,2,TRUE()))</f>
        <v>8단계</v>
      </c>
    </row>
    <row r="35" spans="2:5" ht="16.5" customHeight="1">
      <c r="B35" s="3">
        <v>32</v>
      </c>
      <c r="C35" s="4" t="s">
        <v>52</v>
      </c>
      <c r="D35" s="5">
        <v>5503650</v>
      </c>
      <c r="E35" s="6" t="str">
        <f>IF($D35="","",VLOOKUP($D35,[1]기준표!$B$4:$C$12,2,TRUE()))</f>
        <v>8단계</v>
      </c>
    </row>
    <row r="36" spans="2:5" ht="16.5" customHeight="1">
      <c r="B36" s="3">
        <v>33</v>
      </c>
      <c r="C36" s="4" t="s">
        <v>65</v>
      </c>
      <c r="D36" s="5">
        <v>5171951</v>
      </c>
      <c r="E36" s="6" t="str">
        <f>IF($D36="","",VLOOKUP($D36,[1]기준표!$B$4:$C$12,2,TRUE()))</f>
        <v>8단계</v>
      </c>
    </row>
    <row r="37" spans="2:5" ht="16.5" customHeight="1">
      <c r="B37" s="3">
        <v>34</v>
      </c>
      <c r="C37" s="4" t="s">
        <v>59</v>
      </c>
      <c r="D37" s="5">
        <v>5118847</v>
      </c>
      <c r="E37" s="6" t="str">
        <f>IF($D37="","",VLOOKUP($D37,[1]기준표!$B$4:$C$12,2,TRUE()))</f>
        <v>8단계</v>
      </c>
    </row>
    <row r="38" spans="2:5" ht="16.5" customHeight="1">
      <c r="B38" s="3">
        <v>35</v>
      </c>
      <c r="C38" s="4" t="s">
        <v>50</v>
      </c>
      <c r="D38" s="5">
        <v>5091005</v>
      </c>
      <c r="E38" s="6" t="str">
        <f>IF($D38="","",VLOOKUP($D38,[1]기준표!$B$4:$C$12,2,TRUE()))</f>
        <v>8단계</v>
      </c>
    </row>
    <row r="39" spans="2:5" ht="16.5" customHeight="1">
      <c r="B39" s="3">
        <v>36</v>
      </c>
      <c r="C39" s="4" t="s">
        <v>15</v>
      </c>
      <c r="D39" s="5">
        <v>4630800</v>
      </c>
      <c r="E39" s="6" t="str">
        <f>IF($D39="","",VLOOKUP($D39,[1]기준표!$B$4:$C$12,2,TRUE()))</f>
        <v>8단계</v>
      </c>
    </row>
    <row r="40" spans="2:5" ht="16.5" customHeight="1">
      <c r="B40" s="3">
        <v>37</v>
      </c>
      <c r="C40" s="4" t="s">
        <v>55</v>
      </c>
      <c r="D40" s="5">
        <v>4537987</v>
      </c>
      <c r="E40" s="6" t="str">
        <f>IF($D40="","",VLOOKUP($D40,[1]기준표!$B$4:$C$12,2,TRUE()))</f>
        <v>8단계</v>
      </c>
    </row>
    <row r="41" spans="2:5" ht="16.5" customHeight="1">
      <c r="B41" s="3">
        <v>38</v>
      </c>
      <c r="C41" s="4" t="s">
        <v>60</v>
      </c>
      <c r="D41" s="5">
        <v>4444305</v>
      </c>
      <c r="E41" s="6" t="str">
        <f>IF($D41="","",VLOOKUP($D41,[1]기준표!$B$4:$C$12,2,TRUE()))</f>
        <v>8단계</v>
      </c>
    </row>
    <row r="42" spans="2:5" ht="16.5" customHeight="1">
      <c r="B42" s="3">
        <v>39</v>
      </c>
      <c r="C42" s="4" t="s">
        <v>47</v>
      </c>
      <c r="D42" s="5">
        <v>4393558</v>
      </c>
      <c r="E42" s="6" t="str">
        <f>IF($D42="","",VLOOKUP($D42,[1]기준표!$B$4:$C$12,2,TRUE()))</f>
        <v>8단계</v>
      </c>
    </row>
    <row r="43" spans="2:5" ht="16.5" customHeight="1">
      <c r="B43" s="3">
        <v>40</v>
      </c>
      <c r="C43" s="4" t="s">
        <v>54</v>
      </c>
      <c r="D43" s="5">
        <v>4361685</v>
      </c>
      <c r="E43" s="6" t="str">
        <f>IF($D43="","",VLOOKUP($D43,[1]기준표!$B$4:$C$12,2,TRUE()))</f>
        <v>8단계</v>
      </c>
    </row>
    <row r="44" spans="2:5" ht="16.5" customHeight="1">
      <c r="B44" s="3">
        <v>41</v>
      </c>
      <c r="C44" s="4" t="s">
        <v>17</v>
      </c>
      <c r="D44" s="5">
        <v>4314000</v>
      </c>
      <c r="E44" s="6" t="str">
        <f>IF($D44="","",VLOOKUP($D44,[1]기준표!$B$4:$C$12,2,TRUE()))</f>
        <v>8단계</v>
      </c>
    </row>
    <row r="45" spans="2:5" ht="16.5" customHeight="1">
      <c r="B45" s="3">
        <v>42</v>
      </c>
      <c r="C45" s="4" t="s">
        <v>48</v>
      </c>
      <c r="D45" s="5">
        <v>4305372</v>
      </c>
      <c r="E45" s="6" t="str">
        <f>IF($D45="","",VLOOKUP($D45,[1]기준표!$B$4:$C$12,2,TRUE()))</f>
        <v>8단계</v>
      </c>
    </row>
    <row r="46" spans="2:5" ht="16.5" customHeight="1">
      <c r="B46" s="3">
        <v>43</v>
      </c>
      <c r="C46" s="4" t="s">
        <v>68</v>
      </c>
      <c r="D46" s="5">
        <v>4250081</v>
      </c>
      <c r="E46" s="6" t="str">
        <f>IF($D46="","",VLOOKUP($D46,[1]기준표!$B$4:$C$12,2,TRUE()))</f>
        <v>8단계</v>
      </c>
    </row>
    <row r="47" spans="2:5" ht="16.5" customHeight="1">
      <c r="B47" s="3">
        <v>44</v>
      </c>
      <c r="C47" s="4" t="s">
        <v>36</v>
      </c>
      <c r="D47" s="5">
        <v>4174414</v>
      </c>
      <c r="E47" s="6" t="str">
        <f>IF($D47="","",VLOOKUP($D47,[1]기준표!$B$4:$C$12,2,TRUE()))</f>
        <v>8단계</v>
      </c>
    </row>
    <row r="48" spans="2:5" ht="16.5" customHeight="1">
      <c r="B48" s="3">
        <v>45</v>
      </c>
      <c r="C48" s="4" t="s">
        <v>70</v>
      </c>
      <c r="D48" s="5">
        <v>4081096</v>
      </c>
      <c r="E48" s="6" t="str">
        <f>IF($D48="","",VLOOKUP($D48,[1]기준표!$B$4:$C$12,2,TRUE()))</f>
        <v>8단계</v>
      </c>
    </row>
    <row r="49" spans="2:5" ht="16.5" customHeight="1">
      <c r="B49" s="3">
        <v>46</v>
      </c>
      <c r="C49" s="4" t="s">
        <v>80</v>
      </c>
      <c r="D49" s="5">
        <v>4075795</v>
      </c>
      <c r="E49" s="6" t="str">
        <f>IF($D49="","",VLOOKUP($D49,[1]기준표!$B$4:$C$12,2,TRUE()))</f>
        <v>8단계</v>
      </c>
    </row>
    <row r="50" spans="2:5" ht="16.5" customHeight="1">
      <c r="B50" s="3">
        <v>47</v>
      </c>
      <c r="C50" s="4" t="s">
        <v>57</v>
      </c>
      <c r="D50" s="5">
        <v>4033323</v>
      </c>
      <c r="E50" s="6" t="str">
        <f>IF($D50="","",VLOOKUP($D50,[1]기준표!$B$4:$C$12,2,TRUE()))</f>
        <v>8단계</v>
      </c>
    </row>
    <row r="51" spans="2:5" ht="16.5" customHeight="1">
      <c r="B51" s="3">
        <v>48</v>
      </c>
      <c r="C51" s="4" t="s">
        <v>73</v>
      </c>
      <c r="D51" s="5">
        <v>4029200</v>
      </c>
      <c r="E51" s="6" t="str">
        <f>IF($D51="","",VLOOKUP($D51,[1]기준표!$B$4:$C$12,2,TRUE()))</f>
        <v>8단계</v>
      </c>
    </row>
    <row r="52" spans="2:5" ht="16.5" customHeight="1">
      <c r="B52" s="3">
        <v>49</v>
      </c>
      <c r="C52" s="4" t="s">
        <v>62</v>
      </c>
      <c r="D52" s="5">
        <v>4008325</v>
      </c>
      <c r="E52" s="6" t="str">
        <f>IF($D52="","",VLOOKUP($D52,[1]기준표!$B$4:$C$12,2,TRUE()))</f>
        <v>8단계</v>
      </c>
    </row>
    <row r="53" spans="2:5" ht="16.5" customHeight="1">
      <c r="B53" s="3">
        <v>50</v>
      </c>
      <c r="C53" s="4" t="s">
        <v>66</v>
      </c>
      <c r="D53" s="5">
        <v>4000500</v>
      </c>
      <c r="E53" s="6" t="str">
        <f>IF($D53="","",VLOOKUP($D53,[1]기준표!$B$4:$C$12,2,TRUE()))</f>
        <v>8단계</v>
      </c>
    </row>
    <row r="54" spans="2:5" ht="16.5" customHeight="1">
      <c r="B54" s="3">
        <v>51</v>
      </c>
      <c r="C54" s="4" t="s">
        <v>67</v>
      </c>
      <c r="D54" s="5">
        <v>3892915</v>
      </c>
      <c r="E54" s="6" t="str">
        <f>IF($D54="","",VLOOKUP($D54,[1]기준표!$B$4:$C$12,2,TRUE()))</f>
        <v>8단계</v>
      </c>
    </row>
    <row r="55" spans="2:5" ht="16.5" customHeight="1">
      <c r="B55" s="3">
        <v>52</v>
      </c>
      <c r="C55" s="4" t="s">
        <v>71</v>
      </c>
      <c r="D55" s="5">
        <v>3817624</v>
      </c>
      <c r="E55" s="6" t="str">
        <f>IF($D55="","",VLOOKUP($D55,[1]기준표!$B$4:$C$12,2,TRUE()))</f>
        <v>8단계</v>
      </c>
    </row>
    <row r="56" spans="2:5" ht="16.5" customHeight="1">
      <c r="B56" s="3">
        <v>53</v>
      </c>
      <c r="C56" s="4" t="s">
        <v>74</v>
      </c>
      <c r="D56" s="5">
        <v>3636629</v>
      </c>
      <c r="E56" s="6" t="str">
        <f>IF($D56="","",VLOOKUP($D56,[1]기준표!$B$4:$C$12,2,TRUE()))</f>
        <v>8단계</v>
      </c>
    </row>
    <row r="57" spans="2:5" ht="16.5" customHeight="1">
      <c r="B57" s="3">
        <v>54</v>
      </c>
      <c r="C57" s="4" t="s">
        <v>78</v>
      </c>
      <c r="D57" s="5">
        <v>3620200</v>
      </c>
      <c r="E57" s="6" t="str">
        <f>IF($D57="","",VLOOKUP($D57,[1]기준표!$B$4:$C$12,2,TRUE()))</f>
        <v>8단계</v>
      </c>
    </row>
    <row r="58" spans="2:5" ht="16.5" customHeight="1">
      <c r="B58" s="3">
        <v>55</v>
      </c>
      <c r="C58" s="4" t="s">
        <v>69</v>
      </c>
      <c r="D58" s="5">
        <v>3414335</v>
      </c>
      <c r="E58" s="6" t="str">
        <f>IF($D58="","",VLOOKUP($D58,[1]기준표!$B$4:$C$12,2,TRUE()))</f>
        <v>8단계</v>
      </c>
    </row>
    <row r="59" spans="2:5" ht="16.5" customHeight="1">
      <c r="B59" s="3">
        <v>56</v>
      </c>
      <c r="C59" s="4" t="s">
        <v>61</v>
      </c>
      <c r="D59" s="5">
        <v>3164754</v>
      </c>
      <c r="E59" s="6" t="str">
        <f>IF($D59="","",VLOOKUP($D59,[1]기준표!$B$4:$C$12,2,TRUE()))</f>
        <v>8단계</v>
      </c>
    </row>
    <row r="60" spans="2:5" ht="16.5" customHeight="1">
      <c r="B60" s="3">
        <v>57</v>
      </c>
      <c r="C60" s="4" t="s">
        <v>72</v>
      </c>
      <c r="D60" s="5">
        <v>3063699</v>
      </c>
      <c r="E60" s="6" t="str">
        <f>IF($D60="","",VLOOKUP($D60,[1]기준표!$B$4:$C$12,2,TRUE()))</f>
        <v>8단계</v>
      </c>
    </row>
    <row r="61" spans="2:5" ht="16.5" customHeight="1">
      <c r="B61" s="3">
        <v>58</v>
      </c>
      <c r="C61" s="4" t="s">
        <v>76</v>
      </c>
      <c r="D61" s="5">
        <v>2777032</v>
      </c>
      <c r="E61" s="6" t="str">
        <f>IF($D61="","",VLOOKUP($D61,[1]기준표!$B$4:$C$12,2,TRUE()))</f>
        <v>8단계</v>
      </c>
    </row>
    <row r="62" spans="2:5" ht="16.5" customHeight="1">
      <c r="B62" s="3">
        <v>59</v>
      </c>
      <c r="C62" s="4" t="s">
        <v>82</v>
      </c>
      <c r="D62" s="5">
        <v>2391014</v>
      </c>
      <c r="E62" s="6" t="str">
        <f>IF($D62="","",VLOOKUP($D62,[1]기준표!$B$4:$C$12,2,TRUE()))</f>
        <v>7단계</v>
      </c>
    </row>
    <row r="63" spans="2:5" ht="16.5" customHeight="1">
      <c r="B63" s="3">
        <v>60</v>
      </c>
      <c r="C63" s="11" t="s">
        <v>84</v>
      </c>
      <c r="D63" s="5">
        <v>2372493</v>
      </c>
      <c r="E63" s="6" t="str">
        <f>IF($D63="","",VLOOKUP($D63,[1]기준표!$B$4:$C$12,2,TRUE()))</f>
        <v>7단계</v>
      </c>
    </row>
    <row r="64" spans="2:5" ht="16.5" customHeight="1">
      <c r="B64" s="3">
        <v>61</v>
      </c>
      <c r="C64" s="4" t="s">
        <v>83</v>
      </c>
      <c r="D64" s="5">
        <v>2371425</v>
      </c>
      <c r="E64" s="6" t="str">
        <f>IF($D64="","",VLOOKUP($D64,[1]기준표!$B$4:$C$12,2,TRUE()))</f>
        <v>7단계</v>
      </c>
    </row>
    <row r="65" spans="2:5" ht="16.5" customHeight="1">
      <c r="B65" s="3">
        <v>62</v>
      </c>
      <c r="C65" s="4" t="s">
        <v>75</v>
      </c>
      <c r="D65" s="5">
        <v>2022500</v>
      </c>
      <c r="E65" s="6" t="str">
        <f>IF($D65="","",VLOOKUP($D65,[1]기준표!$B$4:$C$12,2,TRUE()))</f>
        <v>6단계</v>
      </c>
    </row>
    <row r="66" spans="2:5" ht="16.5" customHeight="1">
      <c r="B66" s="3">
        <v>63</v>
      </c>
      <c r="C66" s="4" t="s">
        <v>90</v>
      </c>
      <c r="D66" s="5">
        <v>1764375</v>
      </c>
      <c r="E66" s="6" t="str">
        <f>IF($D66="","",VLOOKUP($D66,[1]기준표!$B$4:$C$12,2,TRUE()))</f>
        <v>6단계</v>
      </c>
    </row>
    <row r="67" spans="2:5" ht="16.5" customHeight="1">
      <c r="B67" s="3">
        <v>64</v>
      </c>
      <c r="C67" s="4" t="s">
        <v>131</v>
      </c>
      <c r="D67" s="5">
        <v>1739773</v>
      </c>
      <c r="E67" s="6" t="str">
        <f>IF($D67="","",VLOOKUP($D67,[1]기준표!$B$4:$C$12,2,TRUE()))</f>
        <v>6단계</v>
      </c>
    </row>
    <row r="68" spans="2:5" ht="16.5" customHeight="1">
      <c r="B68" s="3">
        <v>65</v>
      </c>
      <c r="C68" s="4" t="s">
        <v>77</v>
      </c>
      <c r="D68" s="5">
        <v>1685105</v>
      </c>
      <c r="E68" s="6" t="str">
        <f>IF($D68="","",VLOOKUP($D68,[1]기준표!$B$4:$C$12,2,TRUE()))</f>
        <v>6단계</v>
      </c>
    </row>
    <row r="69" spans="2:5" ht="16.5" customHeight="1">
      <c r="B69" s="3">
        <v>66</v>
      </c>
      <c r="C69" s="4">
        <v>1090</v>
      </c>
      <c r="D69" s="5">
        <v>1619227</v>
      </c>
      <c r="E69" s="6" t="str">
        <f>IF($D69="","",VLOOKUP($D69,[1]기준표!$B$4:$C$12,2,TRUE()))</f>
        <v>6단계</v>
      </c>
    </row>
    <row r="70" spans="2:5" ht="16.5" customHeight="1">
      <c r="B70" s="3">
        <v>67</v>
      </c>
      <c r="C70" s="4" t="s">
        <v>85</v>
      </c>
      <c r="D70" s="5">
        <v>481250</v>
      </c>
      <c r="E70" s="6" t="str">
        <f>IF($D70="","",VLOOKUP($D70,[1]기준표!$B$4:$C$12,2,TRUE()))</f>
        <v>3단계</v>
      </c>
    </row>
    <row r="71" spans="2:5" ht="16.5" customHeight="1">
      <c r="B71" s="3">
        <v>68</v>
      </c>
      <c r="C71" s="11" t="s">
        <v>86</v>
      </c>
      <c r="D71" s="5">
        <v>368750</v>
      </c>
      <c r="E71" s="6" t="str">
        <f>IF($D71="","",VLOOKUP($D71,[1]기준표!$B$4:$C$12,2,TRUE()))</f>
        <v>3단계</v>
      </c>
    </row>
    <row r="72" spans="2:5" ht="16.5" customHeight="1">
      <c r="B72" s="3"/>
      <c r="C72" s="8"/>
      <c r="D72" s="5"/>
      <c r="E72" s="6"/>
    </row>
    <row r="73" spans="2:5" ht="16.5" customHeight="1">
      <c r="B73" s="3"/>
      <c r="C73" s="8"/>
      <c r="D73" s="5"/>
      <c r="E73" s="6"/>
    </row>
  </sheetData>
  <mergeCells count="2">
    <mergeCell ref="C1:E1"/>
    <mergeCell ref="B2:E2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73"/>
  <sheetViews>
    <sheetView zoomScaleNormal="100" workbookViewId="0">
      <pane xSplit="1" ySplit="3" topLeftCell="B66" activePane="bottomRight" state="frozen"/>
      <selection pane="topRight" activeCell="B1" sqref="B1"/>
      <selection pane="bottomLeft" activeCell="A66" sqref="A66"/>
      <selection pane="bottomRight" activeCell="B66" sqref="B66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6" t="s">
        <v>91</v>
      </c>
      <c r="D1" s="26"/>
      <c r="E1" s="26"/>
    </row>
    <row r="2" spans="2:8" ht="18" customHeight="1">
      <c r="B2" s="25" t="s">
        <v>92</v>
      </c>
      <c r="C2" s="25"/>
      <c r="D2" s="25"/>
      <c r="E2" s="25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/>
      <c r="C4" s="4"/>
      <c r="D4" s="5"/>
      <c r="E4" s="6"/>
      <c r="G4" s="7" t="s">
        <v>10</v>
      </c>
      <c r="H4" s="3">
        <f t="shared" ref="H4:H12" si="0">COUNTIF($E$4:$E$73,G4)</f>
        <v>0</v>
      </c>
    </row>
    <row r="5" spans="2:8" ht="16.5" customHeight="1">
      <c r="B5" s="3"/>
      <c r="C5" s="8"/>
      <c r="D5" s="5"/>
      <c r="E5" s="6"/>
      <c r="G5" s="7" t="s">
        <v>12</v>
      </c>
      <c r="H5" s="3">
        <f t="shared" si="0"/>
        <v>0</v>
      </c>
    </row>
    <row r="6" spans="2:8" ht="16.5" customHeight="1">
      <c r="B6" s="3"/>
      <c r="C6" s="4"/>
      <c r="D6" s="5"/>
      <c r="E6" s="6"/>
      <c r="G6" s="7" t="s">
        <v>14</v>
      </c>
      <c r="H6" s="3">
        <f t="shared" si="0"/>
        <v>0</v>
      </c>
    </row>
    <row r="7" spans="2:8" ht="16.5" customHeight="1">
      <c r="B7" s="3"/>
      <c r="C7" s="4"/>
      <c r="D7" s="5"/>
      <c r="E7" s="6"/>
      <c r="G7" s="7" t="s">
        <v>16</v>
      </c>
      <c r="H7" s="3">
        <f t="shared" si="0"/>
        <v>0</v>
      </c>
    </row>
    <row r="8" spans="2:8" ht="16.5" customHeight="1">
      <c r="B8" s="3"/>
      <c r="C8" s="4"/>
      <c r="D8" s="5"/>
      <c r="E8" s="6"/>
      <c r="G8" s="7" t="s">
        <v>18</v>
      </c>
      <c r="H8" s="3">
        <f t="shared" si="0"/>
        <v>0</v>
      </c>
    </row>
    <row r="9" spans="2:8" ht="16.5" customHeight="1">
      <c r="B9" s="3"/>
      <c r="C9" s="4"/>
      <c r="D9" s="5"/>
      <c r="E9" s="6"/>
      <c r="G9" s="7" t="s">
        <v>20</v>
      </c>
      <c r="H9" s="3">
        <f t="shared" si="0"/>
        <v>0</v>
      </c>
    </row>
    <row r="10" spans="2:8" ht="16.5" customHeight="1">
      <c r="B10" s="3"/>
      <c r="C10" s="8"/>
      <c r="D10" s="5"/>
      <c r="E10" s="6"/>
      <c r="G10" s="7" t="s">
        <v>22</v>
      </c>
      <c r="H10" s="3">
        <f t="shared" si="0"/>
        <v>0</v>
      </c>
    </row>
    <row r="11" spans="2:8" ht="16.5" customHeight="1">
      <c r="B11" s="3"/>
      <c r="C11" s="4"/>
      <c r="D11" s="5"/>
      <c r="E11" s="6"/>
      <c r="G11" s="7" t="s">
        <v>24</v>
      </c>
      <c r="H11" s="3">
        <f t="shared" si="0"/>
        <v>0</v>
      </c>
    </row>
    <row r="12" spans="2:8" ht="16.5" customHeight="1">
      <c r="B12" s="3"/>
      <c r="C12" s="4"/>
      <c r="D12" s="5"/>
      <c r="E12" s="6"/>
      <c r="G12" s="7" t="s">
        <v>26</v>
      </c>
      <c r="H12" s="3">
        <f t="shared" si="0"/>
        <v>0</v>
      </c>
    </row>
    <row r="13" spans="2:8" ht="16.5" customHeight="1">
      <c r="B13" s="3"/>
      <c r="C13" s="4"/>
      <c r="D13" s="5"/>
      <c r="E13" s="6"/>
      <c r="G13" s="9" t="s">
        <v>28</v>
      </c>
      <c r="H13" s="6">
        <f>COUNTA($C$4:$C$73)</f>
        <v>0</v>
      </c>
    </row>
    <row r="14" spans="2:8" ht="16.5" customHeight="1">
      <c r="B14" s="3"/>
      <c r="C14" s="4"/>
      <c r="D14" s="5"/>
      <c r="E14" s="6"/>
      <c r="G14" s="9" t="s">
        <v>30</v>
      </c>
      <c r="H14" s="10">
        <f>SUM($D$4:$D$73)</f>
        <v>0</v>
      </c>
    </row>
    <row r="15" spans="2:8" ht="16.5" customHeight="1">
      <c r="B15" s="3"/>
      <c r="C15" s="8"/>
      <c r="D15" s="5"/>
      <c r="E15" s="6"/>
    </row>
    <row r="16" spans="2:8" ht="16.5" customHeight="1">
      <c r="B16" s="3"/>
      <c r="C16" s="8"/>
      <c r="D16" s="5"/>
      <c r="E16" s="6"/>
    </row>
    <row r="17" spans="2:5" ht="16.5" customHeight="1">
      <c r="B17" s="3"/>
      <c r="C17" s="8"/>
      <c r="D17" s="5"/>
      <c r="E17" s="6"/>
    </row>
    <row r="18" spans="2:5" ht="16.5" customHeight="1">
      <c r="B18" s="3"/>
      <c r="C18" s="8"/>
      <c r="D18" s="5"/>
      <c r="E18" s="6"/>
    </row>
    <row r="19" spans="2:5" ht="16.5" customHeight="1">
      <c r="B19" s="3"/>
      <c r="C19" s="8"/>
      <c r="D19" s="5"/>
      <c r="E19" s="6"/>
    </row>
    <row r="20" spans="2:5" ht="16.5" customHeight="1">
      <c r="B20" s="3"/>
      <c r="C20" s="8"/>
      <c r="D20" s="5"/>
      <c r="E20" s="6"/>
    </row>
    <row r="21" spans="2:5" ht="16.5" customHeight="1">
      <c r="B21" s="3"/>
      <c r="C21" s="8"/>
      <c r="D21" s="5"/>
      <c r="E21" s="6"/>
    </row>
    <row r="22" spans="2:5" ht="16.5" customHeight="1">
      <c r="B22" s="3"/>
      <c r="C22" s="8"/>
      <c r="D22" s="5"/>
      <c r="E22" s="6"/>
    </row>
    <row r="23" spans="2:5" ht="16.5" customHeight="1">
      <c r="B23" s="3"/>
      <c r="C23" s="8"/>
      <c r="D23" s="5"/>
      <c r="E23" s="6"/>
    </row>
    <row r="24" spans="2:5" ht="16.5" customHeight="1">
      <c r="B24" s="3"/>
      <c r="C24" s="8"/>
      <c r="D24" s="5"/>
      <c r="E24" s="6"/>
    </row>
    <row r="25" spans="2:5" ht="16.5" customHeight="1">
      <c r="B25" s="3"/>
      <c r="C25" s="8"/>
      <c r="D25" s="5"/>
      <c r="E25" s="6"/>
    </row>
    <row r="26" spans="2:5" ht="16.5" customHeight="1">
      <c r="B26" s="3"/>
      <c r="C26" s="8"/>
      <c r="D26" s="5"/>
      <c r="E26" s="6"/>
    </row>
    <row r="27" spans="2:5" ht="16.5" customHeight="1">
      <c r="B27" s="3"/>
      <c r="C27" s="8"/>
      <c r="D27" s="5"/>
      <c r="E27" s="6"/>
    </row>
    <row r="28" spans="2:5" ht="16.5" customHeight="1">
      <c r="B28" s="3"/>
      <c r="C28" s="8"/>
      <c r="D28" s="5"/>
      <c r="E28" s="6"/>
    </row>
    <row r="29" spans="2:5" ht="16.5" customHeight="1">
      <c r="B29" s="3"/>
      <c r="C29" s="8"/>
      <c r="D29" s="5"/>
      <c r="E29" s="6"/>
    </row>
    <row r="30" spans="2:5" ht="16.5" customHeight="1">
      <c r="B30" s="3"/>
      <c r="C30" s="8"/>
      <c r="D30" s="5"/>
      <c r="E30" s="6"/>
    </row>
    <row r="31" spans="2:5" ht="16.5" customHeight="1">
      <c r="B31" s="3"/>
      <c r="C31" s="8"/>
      <c r="D31" s="5"/>
      <c r="E31" s="6"/>
    </row>
    <row r="32" spans="2:5" ht="16.5" customHeight="1">
      <c r="B32" s="3"/>
      <c r="C32" s="8"/>
      <c r="D32" s="5"/>
      <c r="E32" s="6"/>
    </row>
    <row r="33" spans="2:5" ht="16.5" customHeight="1">
      <c r="B33" s="3"/>
      <c r="C33" s="8"/>
      <c r="D33" s="5"/>
      <c r="E33" s="6"/>
    </row>
    <row r="34" spans="2:5" ht="16.5" customHeight="1">
      <c r="B34" s="3"/>
      <c r="C34" s="8"/>
      <c r="D34" s="5"/>
      <c r="E34" s="6"/>
    </row>
    <row r="35" spans="2:5" ht="16.5" customHeight="1">
      <c r="B35" s="3"/>
      <c r="C35" s="8"/>
      <c r="D35" s="5"/>
      <c r="E35" s="6"/>
    </row>
    <row r="36" spans="2:5" ht="16.5" customHeight="1">
      <c r="B36" s="3"/>
      <c r="C36" s="8"/>
      <c r="D36" s="5"/>
      <c r="E36" s="6"/>
    </row>
    <row r="37" spans="2:5" ht="16.5" customHeight="1">
      <c r="B37" s="3"/>
      <c r="C37" s="8"/>
      <c r="D37" s="5"/>
      <c r="E37" s="6"/>
    </row>
    <row r="38" spans="2:5" ht="16.5" customHeight="1">
      <c r="B38" s="3"/>
      <c r="C38" s="8"/>
      <c r="D38" s="5"/>
      <c r="E38" s="6"/>
    </row>
    <row r="39" spans="2:5" ht="16.5" customHeight="1">
      <c r="B39" s="3"/>
      <c r="C39" s="8"/>
      <c r="D39" s="5"/>
      <c r="E39" s="6"/>
    </row>
    <row r="40" spans="2:5" ht="16.5" customHeight="1">
      <c r="B40" s="3"/>
      <c r="C40" s="8"/>
      <c r="D40" s="5"/>
      <c r="E40" s="6"/>
    </row>
    <row r="41" spans="2:5" ht="16.5" customHeight="1">
      <c r="B41" s="3"/>
      <c r="C41" s="8"/>
      <c r="D41" s="5"/>
      <c r="E41" s="6"/>
    </row>
    <row r="42" spans="2:5" ht="16.5" customHeight="1">
      <c r="B42" s="3"/>
      <c r="C42" s="8"/>
      <c r="D42" s="5"/>
      <c r="E42" s="6"/>
    </row>
    <row r="43" spans="2:5" ht="16.5" customHeight="1">
      <c r="B43" s="3"/>
      <c r="C43" s="8"/>
      <c r="D43" s="5"/>
      <c r="E43" s="6"/>
    </row>
    <row r="44" spans="2:5" ht="16.5" customHeight="1">
      <c r="B44" s="3"/>
      <c r="C44" s="8"/>
      <c r="D44" s="5"/>
      <c r="E44" s="6"/>
    </row>
    <row r="45" spans="2:5" ht="16.5" customHeight="1">
      <c r="B45" s="3"/>
      <c r="C45" s="8"/>
      <c r="D45" s="5"/>
      <c r="E45" s="6"/>
    </row>
    <row r="46" spans="2:5" ht="16.5" customHeight="1">
      <c r="B46" s="3"/>
      <c r="C46" s="8"/>
      <c r="D46" s="5"/>
      <c r="E46" s="6"/>
    </row>
    <row r="47" spans="2:5" ht="16.5" customHeight="1">
      <c r="B47" s="3"/>
      <c r="C47" s="8"/>
      <c r="D47" s="5"/>
      <c r="E47" s="6"/>
    </row>
    <row r="48" spans="2:5" ht="16.5" customHeight="1">
      <c r="B48" s="3"/>
      <c r="C48" s="8"/>
      <c r="D48" s="5"/>
      <c r="E48" s="6"/>
    </row>
    <row r="49" spans="2:5" ht="16.5" customHeight="1">
      <c r="B49" s="3"/>
      <c r="C49" s="8"/>
      <c r="D49" s="5"/>
      <c r="E49" s="6"/>
    </row>
    <row r="50" spans="2:5" ht="16.5" customHeight="1">
      <c r="B50" s="3"/>
      <c r="C50" s="8"/>
      <c r="D50" s="5"/>
      <c r="E50" s="6"/>
    </row>
    <row r="51" spans="2:5" ht="16.5" customHeight="1">
      <c r="B51" s="3"/>
      <c r="C51" s="8"/>
      <c r="D51" s="5"/>
      <c r="E51" s="6"/>
    </row>
    <row r="52" spans="2:5" ht="16.5" customHeight="1">
      <c r="B52" s="3"/>
      <c r="C52" s="8"/>
      <c r="D52" s="5"/>
      <c r="E52" s="6"/>
    </row>
    <row r="53" spans="2:5" ht="16.5" customHeight="1">
      <c r="B53" s="3"/>
      <c r="C53" s="8"/>
      <c r="D53" s="5"/>
      <c r="E53" s="6"/>
    </row>
    <row r="54" spans="2:5" ht="16.5" customHeight="1">
      <c r="B54" s="3"/>
      <c r="C54" s="8"/>
      <c r="D54" s="5"/>
      <c r="E54" s="6"/>
    </row>
    <row r="55" spans="2:5" ht="16.5" customHeight="1">
      <c r="B55" s="3"/>
      <c r="C55" s="8"/>
      <c r="D55" s="5"/>
      <c r="E55" s="6"/>
    </row>
    <row r="56" spans="2:5" ht="16.5" customHeight="1">
      <c r="B56" s="3"/>
      <c r="C56" s="8"/>
      <c r="D56" s="5"/>
      <c r="E56" s="6"/>
    </row>
    <row r="57" spans="2:5" ht="16.5" customHeight="1">
      <c r="B57" s="3"/>
      <c r="C57" s="8"/>
      <c r="D57" s="5"/>
      <c r="E57" s="6"/>
    </row>
    <row r="58" spans="2:5" ht="16.5" customHeight="1">
      <c r="B58" s="3"/>
      <c r="C58" s="8"/>
      <c r="D58" s="5"/>
      <c r="E58" s="6"/>
    </row>
    <row r="59" spans="2:5" ht="16.5" customHeight="1">
      <c r="B59" s="3"/>
      <c r="C59" s="8"/>
      <c r="D59" s="5"/>
      <c r="E59" s="6"/>
    </row>
    <row r="60" spans="2:5" ht="16.5" customHeight="1">
      <c r="B60" s="3"/>
      <c r="C60" s="8"/>
      <c r="D60" s="5"/>
      <c r="E60" s="6"/>
    </row>
    <row r="61" spans="2:5" ht="16.5" customHeight="1">
      <c r="B61" s="3"/>
      <c r="C61" s="8"/>
      <c r="D61" s="5"/>
      <c r="E61" s="6"/>
    </row>
    <row r="62" spans="2:5" ht="16.5" customHeight="1">
      <c r="B62" s="3"/>
      <c r="C62" s="8"/>
      <c r="D62" s="5"/>
      <c r="E62" s="6"/>
    </row>
    <row r="63" spans="2:5" ht="16.5" customHeight="1">
      <c r="B63" s="3"/>
      <c r="C63" s="8"/>
      <c r="D63" s="5"/>
      <c r="E63" s="6"/>
    </row>
    <row r="64" spans="2:5" ht="16.5" customHeight="1">
      <c r="B64" s="3"/>
      <c r="C64" s="8"/>
      <c r="D64" s="5"/>
      <c r="E64" s="6"/>
    </row>
    <row r="65" spans="2:5" ht="16.5" customHeight="1">
      <c r="B65" s="3"/>
      <c r="C65" s="8"/>
      <c r="D65" s="5"/>
      <c r="E65" s="6"/>
    </row>
    <row r="66" spans="2:5" ht="16.5" customHeight="1">
      <c r="B66" s="3"/>
      <c r="C66" s="4"/>
      <c r="D66" s="5"/>
      <c r="E66" s="6"/>
    </row>
    <row r="67" spans="2:5" ht="16.5" customHeight="1">
      <c r="B67" s="3"/>
      <c r="C67" s="8"/>
      <c r="D67" s="5"/>
      <c r="E67" s="6"/>
    </row>
    <row r="68" spans="2:5" ht="16.5" customHeight="1">
      <c r="B68" s="3"/>
      <c r="C68" s="4"/>
      <c r="D68" s="5"/>
      <c r="E68" s="6"/>
    </row>
    <row r="69" spans="2:5" ht="16.5" customHeight="1">
      <c r="B69" s="3"/>
      <c r="C69" s="4"/>
      <c r="D69" s="5"/>
      <c r="E69" s="6"/>
    </row>
    <row r="70" spans="2:5" ht="16.5" customHeight="1">
      <c r="B70" s="3"/>
      <c r="C70" s="8"/>
      <c r="D70" s="5"/>
      <c r="E70" s="6"/>
    </row>
    <row r="71" spans="2:5" ht="16.5" customHeight="1">
      <c r="B71" s="3"/>
      <c r="C71" s="8"/>
      <c r="D71" s="5"/>
      <c r="E71" s="6"/>
    </row>
    <row r="72" spans="2:5" ht="16.5" customHeight="1">
      <c r="B72" s="3"/>
      <c r="C72" s="8"/>
      <c r="D72" s="5"/>
      <c r="E72" s="6"/>
    </row>
    <row r="73" spans="2:5" ht="16.5" customHeight="1">
      <c r="B73" s="3"/>
      <c r="C73" s="8"/>
      <c r="D73" s="5"/>
      <c r="E73" s="6"/>
    </row>
  </sheetData>
  <mergeCells count="2">
    <mergeCell ref="C1:E1"/>
    <mergeCell ref="B2:E2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6" t="s">
        <v>93</v>
      </c>
      <c r="D1" s="26"/>
      <c r="E1" s="26"/>
    </row>
    <row r="2" spans="2:8" ht="18" customHeight="1">
      <c r="B2" s="25" t="s">
        <v>94</v>
      </c>
      <c r="C2" s="25"/>
      <c r="D2" s="25"/>
      <c r="E2" s="25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>
        <v>1</v>
      </c>
      <c r="C4" s="8"/>
      <c r="D4" s="5"/>
      <c r="E4" s="6" t="str">
        <f>IF($D4="","",VLOOKUP($D4,기준표!$B$4:$C$12,2,TRUE()))</f>
        <v/>
      </c>
      <c r="G4" s="7" t="s">
        <v>10</v>
      </c>
      <c r="H4" s="3">
        <f t="shared" ref="H4:H12" si="0">COUNTIF($E$4:$E$73,G4)</f>
        <v>0</v>
      </c>
    </row>
    <row r="5" spans="2:8" ht="16.5" customHeight="1">
      <c r="B5" s="3">
        <v>2</v>
      </c>
      <c r="C5" s="8"/>
      <c r="D5" s="5"/>
      <c r="E5" s="6" t="str">
        <f>IF($D5="","",VLOOKUP($D5,기준표!$B$4:$C$12,2,TRUE()))</f>
        <v/>
      </c>
      <c r="G5" s="7" t="s">
        <v>12</v>
      </c>
      <c r="H5" s="3">
        <f t="shared" si="0"/>
        <v>0</v>
      </c>
    </row>
    <row r="6" spans="2:8" ht="16.5" customHeight="1">
      <c r="B6" s="3">
        <v>3</v>
      </c>
      <c r="C6" s="8"/>
      <c r="D6" s="5"/>
      <c r="E6" s="6" t="str">
        <f>IF($D6="","",VLOOKUP($D6,기준표!$B$4:$C$12,2,TRUE()))</f>
        <v/>
      </c>
      <c r="G6" s="7" t="s">
        <v>14</v>
      </c>
      <c r="H6" s="3">
        <f t="shared" si="0"/>
        <v>0</v>
      </c>
    </row>
    <row r="7" spans="2:8" ht="16.5" customHeight="1">
      <c r="B7" s="3">
        <v>4</v>
      </c>
      <c r="C7" s="8"/>
      <c r="D7" s="5"/>
      <c r="E7" s="6" t="str">
        <f>IF($D7="","",VLOOKUP($D7,기준표!$B$4:$C$12,2,TRUE()))</f>
        <v/>
      </c>
      <c r="G7" s="7" t="s">
        <v>16</v>
      </c>
      <c r="H7" s="3">
        <f t="shared" si="0"/>
        <v>0</v>
      </c>
    </row>
    <row r="8" spans="2:8" ht="16.5" customHeight="1">
      <c r="B8" s="3">
        <v>5</v>
      </c>
      <c r="C8" s="8"/>
      <c r="D8" s="5"/>
      <c r="E8" s="6" t="str">
        <f>IF($D8="","",VLOOKUP($D8,기준표!$B$4:$C$12,2,TRUE()))</f>
        <v/>
      </c>
      <c r="G8" s="7" t="s">
        <v>18</v>
      </c>
      <c r="H8" s="3">
        <f t="shared" si="0"/>
        <v>0</v>
      </c>
    </row>
    <row r="9" spans="2:8" ht="16.5" customHeight="1">
      <c r="B9" s="3">
        <v>6</v>
      </c>
      <c r="C9" s="8"/>
      <c r="D9" s="5"/>
      <c r="E9" s="6" t="str">
        <f>IF($D9="","",VLOOKUP($D9,기준표!$B$4:$C$12,2,TRUE()))</f>
        <v/>
      </c>
      <c r="G9" s="7" t="s">
        <v>20</v>
      </c>
      <c r="H9" s="3">
        <f t="shared" si="0"/>
        <v>0</v>
      </c>
    </row>
    <row r="10" spans="2:8" ht="16.5" customHeight="1">
      <c r="B10" s="3">
        <v>7</v>
      </c>
      <c r="C10" s="8"/>
      <c r="D10" s="5"/>
      <c r="E10" s="6" t="str">
        <f>IF($D10="","",VLOOKUP($D10,기준표!$B$4:$C$12,2,TRUE()))</f>
        <v/>
      </c>
      <c r="G10" s="7" t="s">
        <v>22</v>
      </c>
      <c r="H10" s="3">
        <f t="shared" si="0"/>
        <v>0</v>
      </c>
    </row>
    <row r="11" spans="2:8" ht="16.5" customHeight="1">
      <c r="B11" s="3">
        <v>8</v>
      </c>
      <c r="C11" s="8"/>
      <c r="D11" s="5"/>
      <c r="E11" s="6" t="str">
        <f>IF($D11="","",VLOOKUP($D11,기준표!$B$4:$C$12,2,TRUE()))</f>
        <v/>
      </c>
      <c r="G11" s="7" t="s">
        <v>24</v>
      </c>
      <c r="H11" s="3">
        <f t="shared" si="0"/>
        <v>0</v>
      </c>
    </row>
    <row r="12" spans="2:8" ht="16.5" customHeight="1">
      <c r="B12" s="3">
        <v>9</v>
      </c>
      <c r="C12" s="8"/>
      <c r="D12" s="5"/>
      <c r="E12" s="6" t="str">
        <f>IF($D12="","",VLOOKUP($D12,기준표!$B$4:$C$12,2,TRUE()))</f>
        <v/>
      </c>
      <c r="G12" s="7" t="s">
        <v>26</v>
      </c>
      <c r="H12" s="3">
        <f t="shared" si="0"/>
        <v>0</v>
      </c>
    </row>
    <row r="13" spans="2:8" ht="16.5" customHeight="1">
      <c r="B13" s="3">
        <v>10</v>
      </c>
      <c r="C13" s="8"/>
      <c r="D13" s="5"/>
      <c r="E13" s="6" t="str">
        <f>IF($D13="","",VLOOKUP($D13,기준표!$B$4:$C$12,2,TRUE()))</f>
        <v/>
      </c>
      <c r="G13" s="9" t="s">
        <v>28</v>
      </c>
      <c r="H13" s="6">
        <f>COUNTA($C$4:$C$73)</f>
        <v>0</v>
      </c>
    </row>
    <row r="14" spans="2:8" ht="16.5" customHeight="1">
      <c r="B14" s="3">
        <v>11</v>
      </c>
      <c r="C14" s="8"/>
      <c r="D14" s="5"/>
      <c r="E14" s="6" t="str">
        <f>IF($D14="","",VLOOKUP($D14,기준표!$B$4:$C$12,2,TRUE()))</f>
        <v/>
      </c>
      <c r="G14" s="9" t="s">
        <v>30</v>
      </c>
      <c r="H14" s="10">
        <f>SUM($D$4:$D$73)</f>
        <v>0</v>
      </c>
    </row>
    <row r="15" spans="2:8" ht="16.5" customHeight="1">
      <c r="B15" s="3">
        <v>12</v>
      </c>
      <c r="C15" s="8"/>
      <c r="D15" s="5"/>
      <c r="E15" s="6" t="str">
        <f>IF($D15="","",VLOOKUP($D15,기준표!$B$4:$C$12,2,TRUE()))</f>
        <v/>
      </c>
    </row>
    <row r="16" spans="2:8" ht="16.5" customHeight="1">
      <c r="B16" s="3">
        <v>13</v>
      </c>
      <c r="C16" s="8"/>
      <c r="D16" s="5"/>
      <c r="E16" s="6" t="str">
        <f>IF($D16="","",VLOOKUP($D16,기준표!$B$4:$C$12,2,TRUE()))</f>
        <v/>
      </c>
    </row>
    <row r="17" spans="2:5" ht="16.5" customHeight="1">
      <c r="B17" s="3">
        <v>14</v>
      </c>
      <c r="C17" s="8"/>
      <c r="D17" s="5"/>
      <c r="E17" s="6" t="str">
        <f>IF($D17="","",VLOOKUP($D17,기준표!$B$4:$C$12,2,TRUE()))</f>
        <v/>
      </c>
    </row>
    <row r="18" spans="2:5" ht="16.5" customHeight="1">
      <c r="B18" s="3">
        <v>15</v>
      </c>
      <c r="C18" s="8"/>
      <c r="D18" s="5"/>
      <c r="E18" s="6" t="str">
        <f>IF($D18="","",VLOOKUP($D18,기준표!$B$4:$C$12,2,TRUE()))</f>
        <v/>
      </c>
    </row>
    <row r="19" spans="2:5" ht="16.5" customHeight="1">
      <c r="B19" s="3">
        <v>16</v>
      </c>
      <c r="C19" s="8"/>
      <c r="D19" s="5"/>
      <c r="E19" s="6" t="str">
        <f>IF($D19="","",VLOOKUP($D19,기준표!$B$4:$C$12,2,TRUE()))</f>
        <v/>
      </c>
    </row>
    <row r="20" spans="2:5" ht="16.5" customHeight="1">
      <c r="B20" s="3">
        <v>17</v>
      </c>
      <c r="C20" s="8"/>
      <c r="D20" s="5"/>
      <c r="E20" s="6" t="str">
        <f>IF($D20="","",VLOOKUP($D20,기준표!$B$4:$C$12,2,TRUE()))</f>
        <v/>
      </c>
    </row>
    <row r="21" spans="2:5" ht="16.5" customHeight="1">
      <c r="B21" s="3">
        <v>18</v>
      </c>
      <c r="C21" s="8"/>
      <c r="D21" s="5"/>
      <c r="E21" s="6" t="str">
        <f>IF($D21="","",VLOOKUP($D21,기준표!$B$4:$C$12,2,TRUE()))</f>
        <v/>
      </c>
    </row>
    <row r="22" spans="2:5" ht="16.5" customHeight="1">
      <c r="B22" s="3">
        <v>19</v>
      </c>
      <c r="C22" s="8"/>
      <c r="D22" s="5"/>
      <c r="E22" s="6" t="str">
        <f>IF($D22="","",VLOOKUP($D22,기준표!$B$4:$C$12,2,TRUE()))</f>
        <v/>
      </c>
    </row>
    <row r="23" spans="2:5" ht="16.5" customHeight="1">
      <c r="B23" s="3">
        <v>20</v>
      </c>
      <c r="C23" s="8"/>
      <c r="D23" s="5"/>
      <c r="E23" s="6" t="str">
        <f>IF($D23="","",VLOOKUP($D23,기준표!$B$4:$C$12,2,TRUE()))</f>
        <v/>
      </c>
    </row>
    <row r="24" spans="2:5" ht="16.5" customHeight="1">
      <c r="B24" s="3">
        <v>21</v>
      </c>
      <c r="C24" s="8"/>
      <c r="D24" s="5"/>
      <c r="E24" s="6" t="str">
        <f>IF($D24="","",VLOOKUP($D24,기준표!$B$4:$C$12,2,TRUE()))</f>
        <v/>
      </c>
    </row>
    <row r="25" spans="2:5" ht="16.5" customHeight="1">
      <c r="B25" s="3">
        <v>22</v>
      </c>
      <c r="C25" s="8"/>
      <c r="D25" s="5"/>
      <c r="E25" s="6" t="str">
        <f>IF($D25="","",VLOOKUP($D25,기준표!$B$4:$C$12,2,TRUE()))</f>
        <v/>
      </c>
    </row>
    <row r="26" spans="2:5" ht="16.5" customHeight="1">
      <c r="B26" s="3">
        <v>23</v>
      </c>
      <c r="C26" s="8"/>
      <c r="D26" s="5"/>
      <c r="E26" s="6" t="str">
        <f>IF($D26="","",VLOOKUP($D26,기준표!$B$4:$C$12,2,TRUE()))</f>
        <v/>
      </c>
    </row>
    <row r="27" spans="2:5" ht="16.5" customHeight="1">
      <c r="B27" s="3">
        <v>24</v>
      </c>
      <c r="C27" s="8"/>
      <c r="D27" s="5"/>
      <c r="E27" s="6" t="str">
        <f>IF($D27="","",VLOOKUP($D27,기준표!$B$4:$C$12,2,TRUE()))</f>
        <v/>
      </c>
    </row>
    <row r="28" spans="2:5" ht="16.5" customHeight="1">
      <c r="B28" s="3">
        <v>25</v>
      </c>
      <c r="C28" s="8"/>
      <c r="D28" s="5"/>
      <c r="E28" s="6" t="str">
        <f>IF($D28="","",VLOOKUP($D28,기준표!$B$4:$C$12,2,TRUE()))</f>
        <v/>
      </c>
    </row>
    <row r="29" spans="2:5" ht="16.5" customHeight="1">
      <c r="B29" s="3">
        <v>26</v>
      </c>
      <c r="C29" s="8"/>
      <c r="D29" s="5"/>
      <c r="E29" s="6" t="str">
        <f>IF($D29="","",VLOOKUP($D29,기준표!$B$4:$C$12,2,TRUE()))</f>
        <v/>
      </c>
    </row>
    <row r="30" spans="2:5" ht="16.5" customHeight="1">
      <c r="B30" s="3">
        <v>27</v>
      </c>
      <c r="C30" s="8"/>
      <c r="D30" s="5"/>
      <c r="E30" s="6" t="str">
        <f>IF($D30="","",VLOOKUP($D30,기준표!$B$4:$C$12,2,TRUE()))</f>
        <v/>
      </c>
    </row>
    <row r="31" spans="2:5" ht="16.5" customHeight="1">
      <c r="B31" s="3">
        <v>28</v>
      </c>
      <c r="C31" s="8"/>
      <c r="D31" s="5"/>
      <c r="E31" s="6" t="str">
        <f>IF($D31="","",VLOOKUP($D31,기준표!$B$4:$C$12,2,TRUE()))</f>
        <v/>
      </c>
    </row>
    <row r="32" spans="2:5" ht="16.5" customHeight="1">
      <c r="B32" s="3">
        <v>29</v>
      </c>
      <c r="C32" s="8"/>
      <c r="D32" s="5"/>
      <c r="E32" s="6" t="str">
        <f>IF($D32="","",VLOOKUP($D32,기준표!$B$4:$C$12,2,TRUE()))</f>
        <v/>
      </c>
    </row>
    <row r="33" spans="2:5" ht="16.5" customHeight="1">
      <c r="B33" s="3">
        <v>30</v>
      </c>
      <c r="C33" s="8"/>
      <c r="D33" s="5"/>
      <c r="E33" s="6" t="str">
        <f>IF($D33="","",VLOOKUP($D33,기준표!$B$4:$C$12,2,TRUE()))</f>
        <v/>
      </c>
    </row>
    <row r="34" spans="2:5" ht="16.5" customHeight="1">
      <c r="B34" s="3">
        <v>31</v>
      </c>
      <c r="C34" s="8"/>
      <c r="D34" s="5"/>
      <c r="E34" s="6" t="str">
        <f>IF($D34="","",VLOOKUP($D34,기준표!$B$4:$C$12,2,TRUE()))</f>
        <v/>
      </c>
    </row>
    <row r="35" spans="2:5" ht="16.5" customHeight="1">
      <c r="B35" s="3">
        <v>32</v>
      </c>
      <c r="C35" s="8"/>
      <c r="D35" s="5"/>
      <c r="E35" s="6" t="str">
        <f>IF($D35="","",VLOOKUP($D35,기준표!$B$4:$C$12,2,TRUE()))</f>
        <v/>
      </c>
    </row>
    <row r="36" spans="2:5" ht="16.5" customHeight="1">
      <c r="B36" s="3">
        <v>33</v>
      </c>
      <c r="C36" s="8"/>
      <c r="D36" s="5"/>
      <c r="E36" s="6" t="str">
        <f>IF($D36="","",VLOOKUP($D36,기준표!$B$4:$C$12,2,TRUE()))</f>
        <v/>
      </c>
    </row>
    <row r="37" spans="2:5" ht="16.5" customHeight="1">
      <c r="B37" s="3">
        <v>34</v>
      </c>
      <c r="C37" s="8"/>
      <c r="D37" s="5"/>
      <c r="E37" s="6" t="str">
        <f>IF($D37="","",VLOOKUP($D37,기준표!$B$4:$C$12,2,TRUE()))</f>
        <v/>
      </c>
    </row>
    <row r="38" spans="2:5" ht="16.5" customHeight="1">
      <c r="B38" s="3">
        <v>35</v>
      </c>
      <c r="C38" s="8"/>
      <c r="D38" s="5"/>
      <c r="E38" s="6" t="str">
        <f>IF($D38="","",VLOOKUP($D38,기준표!$B$4:$C$12,2,TRUE()))</f>
        <v/>
      </c>
    </row>
    <row r="39" spans="2:5" ht="16.5" customHeight="1">
      <c r="B39" s="3">
        <v>36</v>
      </c>
      <c r="C39" s="8"/>
      <c r="D39" s="5"/>
      <c r="E39" s="6" t="str">
        <f>IF($D39="","",VLOOKUP($D39,기준표!$B$4:$C$12,2,TRUE()))</f>
        <v/>
      </c>
    </row>
    <row r="40" spans="2:5" ht="16.5" customHeight="1">
      <c r="B40" s="3">
        <v>37</v>
      </c>
      <c r="C40" s="8"/>
      <c r="D40" s="5"/>
      <c r="E40" s="6" t="str">
        <f>IF($D40="","",VLOOKUP($D40,기준표!$B$4:$C$12,2,TRUE()))</f>
        <v/>
      </c>
    </row>
    <row r="41" spans="2:5" ht="16.5" customHeight="1">
      <c r="B41" s="3">
        <v>38</v>
      </c>
      <c r="C41" s="8"/>
      <c r="D41" s="5"/>
      <c r="E41" s="6" t="str">
        <f>IF($D41="","",VLOOKUP($D41,기준표!$B$4:$C$12,2,TRUE()))</f>
        <v/>
      </c>
    </row>
    <row r="42" spans="2:5" ht="16.5" customHeight="1">
      <c r="B42" s="3">
        <v>39</v>
      </c>
      <c r="C42" s="8"/>
      <c r="D42" s="5"/>
      <c r="E42" s="6" t="str">
        <f>IF($D42="","",VLOOKUP($D42,기준표!$B$4:$C$12,2,TRUE()))</f>
        <v/>
      </c>
    </row>
    <row r="43" spans="2:5" ht="16.5" customHeight="1">
      <c r="B43" s="3">
        <v>40</v>
      </c>
      <c r="C43" s="8"/>
      <c r="D43" s="5"/>
      <c r="E43" s="6" t="str">
        <f>IF($D43="","",VLOOKUP($D43,기준표!$B$4:$C$12,2,TRUE()))</f>
        <v/>
      </c>
    </row>
    <row r="44" spans="2:5" ht="16.5" customHeight="1">
      <c r="B44" s="3">
        <v>41</v>
      </c>
      <c r="C44" s="8"/>
      <c r="D44" s="5"/>
      <c r="E44" s="6" t="str">
        <f>IF($D44="","",VLOOKUP($D44,기준표!$B$4:$C$12,2,TRUE()))</f>
        <v/>
      </c>
    </row>
    <row r="45" spans="2:5" ht="16.5" customHeight="1">
      <c r="B45" s="3">
        <v>42</v>
      </c>
      <c r="C45" s="8"/>
      <c r="D45" s="5"/>
      <c r="E45" s="6" t="str">
        <f>IF($D45="","",VLOOKUP($D45,기준표!$B$4:$C$12,2,TRUE()))</f>
        <v/>
      </c>
    </row>
    <row r="46" spans="2:5" ht="16.5" customHeight="1">
      <c r="B46" s="3">
        <v>43</v>
      </c>
      <c r="C46" s="8"/>
      <c r="D46" s="5"/>
      <c r="E46" s="6" t="str">
        <f>IF($D46="","",VLOOKUP($D46,기준표!$B$4:$C$12,2,TRUE()))</f>
        <v/>
      </c>
    </row>
    <row r="47" spans="2:5" ht="16.5" customHeight="1">
      <c r="B47" s="3">
        <v>44</v>
      </c>
      <c r="C47" s="8"/>
      <c r="D47" s="5"/>
      <c r="E47" s="6" t="str">
        <f>IF($D47="","",VLOOKUP($D47,기준표!$B$4:$C$12,2,TRUE()))</f>
        <v/>
      </c>
    </row>
    <row r="48" spans="2:5" ht="16.5" customHeight="1">
      <c r="B48" s="3">
        <v>45</v>
      </c>
      <c r="C48" s="8"/>
      <c r="D48" s="5"/>
      <c r="E48" s="6" t="str">
        <f>IF($D48="","",VLOOKUP($D48,기준표!$B$4:$C$12,2,TRUE()))</f>
        <v/>
      </c>
    </row>
    <row r="49" spans="2:5" ht="16.5" customHeight="1">
      <c r="B49" s="3">
        <v>46</v>
      </c>
      <c r="C49" s="8"/>
      <c r="D49" s="5"/>
      <c r="E49" s="6" t="str">
        <f>IF($D49="","",VLOOKUP($D49,기준표!$B$4:$C$12,2,TRUE()))</f>
        <v/>
      </c>
    </row>
    <row r="50" spans="2:5" ht="16.5" customHeight="1">
      <c r="B50" s="3">
        <v>47</v>
      </c>
      <c r="C50" s="8"/>
      <c r="D50" s="5"/>
      <c r="E50" s="6" t="str">
        <f>IF($D50="","",VLOOKUP($D50,기준표!$B$4:$C$12,2,TRUE()))</f>
        <v/>
      </c>
    </row>
    <row r="51" spans="2:5" ht="16.5" customHeight="1">
      <c r="B51" s="3">
        <v>48</v>
      </c>
      <c r="C51" s="8"/>
      <c r="D51" s="5"/>
      <c r="E51" s="6" t="str">
        <f>IF($D51="","",VLOOKUP($D51,기준표!$B$4:$C$12,2,TRUE()))</f>
        <v/>
      </c>
    </row>
    <row r="52" spans="2:5" ht="16.5" customHeight="1">
      <c r="B52" s="3">
        <v>49</v>
      </c>
      <c r="C52" s="8"/>
      <c r="D52" s="5"/>
      <c r="E52" s="6" t="str">
        <f>IF($D52="","",VLOOKUP($D52,기준표!$B$4:$C$12,2,TRUE()))</f>
        <v/>
      </c>
    </row>
    <row r="53" spans="2:5" ht="16.5" customHeight="1">
      <c r="B53" s="3">
        <v>50</v>
      </c>
      <c r="C53" s="8"/>
      <c r="D53" s="5"/>
      <c r="E53" s="6" t="str">
        <f>IF($D53="","",VLOOKUP($D53,기준표!$B$4:$C$12,2,TRUE()))</f>
        <v/>
      </c>
    </row>
    <row r="54" spans="2:5" ht="16.5" customHeight="1">
      <c r="B54" s="3">
        <v>51</v>
      </c>
      <c r="C54" s="8"/>
      <c r="D54" s="5"/>
      <c r="E54" s="6" t="str">
        <f>IF($D54="","",VLOOKUP($D54,기준표!$B$4:$C$12,2,TRUE()))</f>
        <v/>
      </c>
    </row>
    <row r="55" spans="2:5" ht="16.5" customHeight="1">
      <c r="B55" s="3">
        <v>52</v>
      </c>
      <c r="C55" s="8"/>
      <c r="D55" s="5"/>
      <c r="E55" s="6" t="str">
        <f>IF($D55="","",VLOOKUP($D55,기준표!$B$4:$C$12,2,TRUE()))</f>
        <v/>
      </c>
    </row>
    <row r="56" spans="2:5" ht="16.5" customHeight="1">
      <c r="B56" s="3">
        <v>53</v>
      </c>
      <c r="C56" s="8"/>
      <c r="D56" s="5"/>
      <c r="E56" s="6" t="str">
        <f>IF($D56="","",VLOOKUP($D56,기준표!$B$4:$C$12,2,TRUE()))</f>
        <v/>
      </c>
    </row>
    <row r="57" spans="2:5" ht="16.5" customHeight="1">
      <c r="B57" s="3">
        <v>54</v>
      </c>
      <c r="C57" s="8"/>
      <c r="D57" s="5"/>
      <c r="E57" s="6" t="str">
        <f>IF($D57="","",VLOOKUP($D57,기준표!$B$4:$C$12,2,TRUE()))</f>
        <v/>
      </c>
    </row>
    <row r="58" spans="2:5" ht="16.5" customHeight="1">
      <c r="B58" s="3">
        <v>55</v>
      </c>
      <c r="C58" s="8"/>
      <c r="D58" s="5"/>
      <c r="E58" s="6" t="str">
        <f>IF($D58="","",VLOOKUP($D58,기준표!$B$4:$C$12,2,TRUE()))</f>
        <v/>
      </c>
    </row>
    <row r="59" spans="2:5" ht="16.5" customHeight="1">
      <c r="B59" s="3">
        <v>56</v>
      </c>
      <c r="C59" s="8"/>
      <c r="D59" s="5"/>
      <c r="E59" s="6" t="str">
        <f>IF($D59="","",VLOOKUP($D59,기준표!$B$4:$C$12,2,TRUE()))</f>
        <v/>
      </c>
    </row>
    <row r="60" spans="2:5" ht="16.5" customHeight="1">
      <c r="B60" s="3">
        <v>57</v>
      </c>
      <c r="C60" s="8"/>
      <c r="D60" s="5"/>
      <c r="E60" s="6" t="str">
        <f>IF($D60="","",VLOOKUP($D60,기준표!$B$4:$C$12,2,TRUE()))</f>
        <v/>
      </c>
    </row>
    <row r="61" spans="2:5" ht="16.5" customHeight="1">
      <c r="B61" s="3">
        <v>58</v>
      </c>
      <c r="C61" s="8"/>
      <c r="D61" s="5"/>
      <c r="E61" s="6" t="str">
        <f>IF($D61="","",VLOOKUP($D61,기준표!$B$4:$C$12,2,TRUE()))</f>
        <v/>
      </c>
    </row>
    <row r="62" spans="2:5" ht="16.5" customHeight="1">
      <c r="B62" s="3">
        <v>59</v>
      </c>
      <c r="C62" s="8"/>
      <c r="D62" s="5"/>
      <c r="E62" s="6" t="str">
        <f>IF($D62="","",VLOOKUP($D62,기준표!$B$4:$C$12,2,TRUE()))</f>
        <v/>
      </c>
    </row>
    <row r="63" spans="2:5" ht="16.5" customHeight="1">
      <c r="B63" s="3">
        <v>60</v>
      </c>
      <c r="C63" s="8"/>
      <c r="D63" s="5"/>
      <c r="E63" s="6" t="str">
        <f>IF($D63="","",VLOOKUP($D63,기준표!$B$4:$C$12,2,TRUE()))</f>
        <v/>
      </c>
    </row>
    <row r="64" spans="2:5" ht="16.5" customHeight="1">
      <c r="B64" s="3">
        <v>61</v>
      </c>
      <c r="C64" s="8"/>
      <c r="D64" s="5"/>
      <c r="E64" s="6" t="str">
        <f>IF($D64="","",VLOOKUP($D64,기준표!$B$4:$C$12,2,TRUE()))</f>
        <v/>
      </c>
    </row>
    <row r="65" spans="2:5" ht="16.5" customHeight="1">
      <c r="B65" s="3">
        <v>62</v>
      </c>
      <c r="C65" s="8"/>
      <c r="D65" s="5"/>
      <c r="E65" s="6" t="str">
        <f>IF($D65="","",VLOOKUP($D65,기준표!$B$4:$C$12,2,TRUE()))</f>
        <v/>
      </c>
    </row>
    <row r="66" spans="2:5" ht="16.5" customHeight="1">
      <c r="B66" s="3">
        <v>63</v>
      </c>
      <c r="C66" s="8"/>
      <c r="D66" s="5"/>
      <c r="E66" s="6" t="str">
        <f>IF($D66="","",VLOOKUP($D66,기준표!$B$4:$C$12,2,TRUE()))</f>
        <v/>
      </c>
    </row>
    <row r="67" spans="2:5" ht="16.5" customHeight="1">
      <c r="B67" s="3">
        <v>64</v>
      </c>
      <c r="C67" s="8"/>
      <c r="D67" s="5"/>
      <c r="E67" s="6" t="str">
        <f>IF($D67="","",VLOOKUP($D67,기준표!$B$4:$C$12,2,TRUE()))</f>
        <v/>
      </c>
    </row>
    <row r="68" spans="2:5" ht="16.5" customHeight="1">
      <c r="B68" s="3">
        <v>65</v>
      </c>
      <c r="C68" s="8"/>
      <c r="D68" s="5"/>
      <c r="E68" s="6" t="str">
        <f>IF($D68="","",VLOOKUP($D68,기준표!$B$4:$C$12,2,TRUE()))</f>
        <v/>
      </c>
    </row>
    <row r="69" spans="2:5" ht="16.5" customHeight="1">
      <c r="B69" s="3">
        <v>66</v>
      </c>
      <c r="C69" s="8"/>
      <c r="D69" s="5"/>
      <c r="E69" s="6" t="str">
        <f>IF($D69="","",VLOOKUP($D69,기준표!$B$4:$C$12,2,TRUE()))</f>
        <v/>
      </c>
    </row>
    <row r="70" spans="2:5" ht="16.5" customHeight="1">
      <c r="B70" s="3">
        <v>67</v>
      </c>
      <c r="C70" s="8"/>
      <c r="D70" s="5"/>
      <c r="E70" s="6" t="str">
        <f>IF($D70="","",VLOOKUP($D70,기준표!$B$4:$C$12,2,TRUE()))</f>
        <v/>
      </c>
    </row>
    <row r="71" spans="2:5" ht="16.5" customHeight="1">
      <c r="B71" s="3">
        <v>68</v>
      </c>
      <c r="C71" s="8"/>
      <c r="D71" s="5"/>
      <c r="E71" s="6" t="str">
        <f>IF($D71="","",VLOOKUP($D71,기준표!$B$4:$C$12,2,TRUE()))</f>
        <v/>
      </c>
    </row>
    <row r="72" spans="2:5" ht="16.5" customHeight="1">
      <c r="B72" s="3">
        <v>69</v>
      </c>
      <c r="C72" s="8"/>
      <c r="D72" s="5"/>
      <c r="E72" s="6" t="str">
        <f>IF($D72="","",VLOOKUP($D72,기준표!$B$4:$C$12,2,TRUE()))</f>
        <v/>
      </c>
    </row>
    <row r="73" spans="2:5" ht="16.5" customHeight="1">
      <c r="B73" s="3">
        <v>70</v>
      </c>
      <c r="C73" s="8"/>
      <c r="D73" s="5"/>
      <c r="E73" s="6" t="str">
        <f>IF($D73="","",VLOOKUP($D73,기준표!$B$4:$C$12,2,TRUE()))</f>
        <v/>
      </c>
    </row>
  </sheetData>
  <mergeCells count="2">
    <mergeCell ref="C1:E1"/>
    <mergeCell ref="B2:E2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6" t="s">
        <v>95</v>
      </c>
      <c r="D1" s="26"/>
      <c r="E1" s="26"/>
    </row>
    <row r="2" spans="2:8" ht="18" customHeight="1">
      <c r="B2" s="25" t="s">
        <v>96</v>
      </c>
      <c r="C2" s="25"/>
      <c r="D2" s="25"/>
      <c r="E2" s="25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>
        <v>1</v>
      </c>
      <c r="C4" s="8"/>
      <c r="D4" s="5"/>
      <c r="E4" s="6" t="str">
        <f>IF($D4="","",VLOOKUP($D4,기준표!$B$4:$C$12,2,TRUE()))</f>
        <v/>
      </c>
      <c r="G4" s="7" t="s">
        <v>10</v>
      </c>
      <c r="H4" s="3">
        <f t="shared" ref="H4:H12" si="0">COUNTIF($E$4:$E$73,G4)</f>
        <v>0</v>
      </c>
    </row>
    <row r="5" spans="2:8" ht="16.5" customHeight="1">
      <c r="B5" s="3">
        <v>2</v>
      </c>
      <c r="C5" s="8"/>
      <c r="D5" s="5"/>
      <c r="E5" s="6" t="str">
        <f>IF($D5="","",VLOOKUP($D5,기준표!$B$4:$C$12,2,TRUE()))</f>
        <v/>
      </c>
      <c r="G5" s="7" t="s">
        <v>12</v>
      </c>
      <c r="H5" s="3">
        <f t="shared" si="0"/>
        <v>0</v>
      </c>
    </row>
    <row r="6" spans="2:8" ht="16.5" customHeight="1">
      <c r="B6" s="3">
        <v>3</v>
      </c>
      <c r="C6" s="8"/>
      <c r="D6" s="5"/>
      <c r="E6" s="6" t="str">
        <f>IF($D6="","",VLOOKUP($D6,기준표!$B$4:$C$12,2,TRUE()))</f>
        <v/>
      </c>
      <c r="G6" s="7" t="s">
        <v>14</v>
      </c>
      <c r="H6" s="3">
        <f t="shared" si="0"/>
        <v>0</v>
      </c>
    </row>
    <row r="7" spans="2:8" ht="16.5" customHeight="1">
      <c r="B7" s="3">
        <v>4</v>
      </c>
      <c r="C7" s="8"/>
      <c r="D7" s="5"/>
      <c r="E7" s="6" t="str">
        <f>IF($D7="","",VLOOKUP($D7,기준표!$B$4:$C$12,2,TRUE()))</f>
        <v/>
      </c>
      <c r="G7" s="7" t="s">
        <v>16</v>
      </c>
      <c r="H7" s="3">
        <f t="shared" si="0"/>
        <v>0</v>
      </c>
    </row>
    <row r="8" spans="2:8" ht="16.5" customHeight="1">
      <c r="B8" s="3">
        <v>5</v>
      </c>
      <c r="C8" s="8"/>
      <c r="D8" s="5"/>
      <c r="E8" s="6" t="str">
        <f>IF($D8="","",VLOOKUP($D8,기준표!$B$4:$C$12,2,TRUE()))</f>
        <v/>
      </c>
      <c r="G8" s="7" t="s">
        <v>18</v>
      </c>
      <c r="H8" s="3">
        <f t="shared" si="0"/>
        <v>0</v>
      </c>
    </row>
    <row r="9" spans="2:8" ht="16.5" customHeight="1">
      <c r="B9" s="3">
        <v>6</v>
      </c>
      <c r="C9" s="8"/>
      <c r="D9" s="5"/>
      <c r="E9" s="6" t="str">
        <f>IF($D9="","",VLOOKUP($D9,기준표!$B$4:$C$12,2,TRUE()))</f>
        <v/>
      </c>
      <c r="G9" s="7" t="s">
        <v>20</v>
      </c>
      <c r="H9" s="3">
        <f t="shared" si="0"/>
        <v>0</v>
      </c>
    </row>
    <row r="10" spans="2:8" ht="16.5" customHeight="1">
      <c r="B10" s="3">
        <v>7</v>
      </c>
      <c r="C10" s="8"/>
      <c r="D10" s="5"/>
      <c r="E10" s="6" t="str">
        <f>IF($D10="","",VLOOKUP($D10,기준표!$B$4:$C$12,2,TRUE()))</f>
        <v/>
      </c>
      <c r="G10" s="7" t="s">
        <v>22</v>
      </c>
      <c r="H10" s="3">
        <f t="shared" si="0"/>
        <v>0</v>
      </c>
    </row>
    <row r="11" spans="2:8" ht="16.5" customHeight="1">
      <c r="B11" s="3">
        <v>8</v>
      </c>
      <c r="C11" s="8"/>
      <c r="D11" s="5"/>
      <c r="E11" s="6" t="str">
        <f>IF($D11="","",VLOOKUP($D11,기준표!$B$4:$C$12,2,TRUE()))</f>
        <v/>
      </c>
      <c r="G11" s="7" t="s">
        <v>24</v>
      </c>
      <c r="H11" s="3">
        <f t="shared" si="0"/>
        <v>0</v>
      </c>
    </row>
    <row r="12" spans="2:8" ht="16.5" customHeight="1">
      <c r="B12" s="3">
        <v>9</v>
      </c>
      <c r="C12" s="8"/>
      <c r="D12" s="5"/>
      <c r="E12" s="6" t="str">
        <f>IF($D12="","",VLOOKUP($D12,기준표!$B$4:$C$12,2,TRUE()))</f>
        <v/>
      </c>
      <c r="G12" s="7" t="s">
        <v>26</v>
      </c>
      <c r="H12" s="3">
        <f t="shared" si="0"/>
        <v>0</v>
      </c>
    </row>
    <row r="13" spans="2:8" ht="16.5" customHeight="1">
      <c r="B13" s="3">
        <v>10</v>
      </c>
      <c r="C13" s="8"/>
      <c r="D13" s="5"/>
      <c r="E13" s="6" t="str">
        <f>IF($D13="","",VLOOKUP($D13,기준표!$B$4:$C$12,2,TRUE()))</f>
        <v/>
      </c>
      <c r="G13" s="9" t="s">
        <v>28</v>
      </c>
      <c r="H13" s="6">
        <f>COUNTA($C$4:$C$73)</f>
        <v>0</v>
      </c>
    </row>
    <row r="14" spans="2:8" ht="16.5" customHeight="1">
      <c r="B14" s="3">
        <v>11</v>
      </c>
      <c r="C14" s="8"/>
      <c r="D14" s="5"/>
      <c r="E14" s="6" t="str">
        <f>IF($D14="","",VLOOKUP($D14,기준표!$B$4:$C$12,2,TRUE()))</f>
        <v/>
      </c>
      <c r="G14" s="9" t="s">
        <v>30</v>
      </c>
      <c r="H14" s="10">
        <f>SUM($D$4:$D$73)</f>
        <v>0</v>
      </c>
    </row>
    <row r="15" spans="2:8" ht="16.5" customHeight="1">
      <c r="B15" s="3">
        <v>12</v>
      </c>
      <c r="C15" s="8"/>
      <c r="D15" s="5"/>
      <c r="E15" s="6" t="str">
        <f>IF($D15="","",VLOOKUP($D15,기준표!$B$4:$C$12,2,TRUE()))</f>
        <v/>
      </c>
    </row>
    <row r="16" spans="2:8" ht="16.5" customHeight="1">
      <c r="B16" s="3">
        <v>13</v>
      </c>
      <c r="C16" s="8"/>
      <c r="D16" s="5"/>
      <c r="E16" s="6" t="str">
        <f>IF($D16="","",VLOOKUP($D16,기준표!$B$4:$C$12,2,TRUE()))</f>
        <v/>
      </c>
    </row>
    <row r="17" spans="2:5" ht="16.5" customHeight="1">
      <c r="B17" s="3">
        <v>14</v>
      </c>
      <c r="C17" s="8"/>
      <c r="D17" s="5"/>
      <c r="E17" s="6" t="str">
        <f>IF($D17="","",VLOOKUP($D17,기준표!$B$4:$C$12,2,TRUE()))</f>
        <v/>
      </c>
    </row>
    <row r="18" spans="2:5" ht="16.5" customHeight="1">
      <c r="B18" s="3">
        <v>15</v>
      </c>
      <c r="C18" s="8"/>
      <c r="D18" s="5"/>
      <c r="E18" s="6" t="str">
        <f>IF($D18="","",VLOOKUP($D18,기준표!$B$4:$C$12,2,TRUE()))</f>
        <v/>
      </c>
    </row>
    <row r="19" spans="2:5" ht="16.5" customHeight="1">
      <c r="B19" s="3">
        <v>16</v>
      </c>
      <c r="C19" s="8"/>
      <c r="D19" s="5"/>
      <c r="E19" s="6" t="str">
        <f>IF($D19="","",VLOOKUP($D19,기준표!$B$4:$C$12,2,TRUE()))</f>
        <v/>
      </c>
    </row>
    <row r="20" spans="2:5" ht="16.5" customHeight="1">
      <c r="B20" s="3">
        <v>17</v>
      </c>
      <c r="C20" s="8"/>
      <c r="D20" s="5"/>
      <c r="E20" s="6" t="str">
        <f>IF($D20="","",VLOOKUP($D20,기준표!$B$4:$C$12,2,TRUE()))</f>
        <v/>
      </c>
    </row>
    <row r="21" spans="2:5" ht="16.5" customHeight="1">
      <c r="B21" s="3">
        <v>18</v>
      </c>
      <c r="C21" s="8"/>
      <c r="D21" s="5"/>
      <c r="E21" s="6" t="str">
        <f>IF($D21="","",VLOOKUP($D21,기준표!$B$4:$C$12,2,TRUE()))</f>
        <v/>
      </c>
    </row>
    <row r="22" spans="2:5" ht="16.5" customHeight="1">
      <c r="B22" s="3">
        <v>19</v>
      </c>
      <c r="C22" s="8"/>
      <c r="D22" s="5"/>
      <c r="E22" s="6" t="str">
        <f>IF($D22="","",VLOOKUP($D22,기준표!$B$4:$C$12,2,TRUE()))</f>
        <v/>
      </c>
    </row>
    <row r="23" spans="2:5" ht="16.5" customHeight="1">
      <c r="B23" s="3">
        <v>20</v>
      </c>
      <c r="C23" s="8"/>
      <c r="D23" s="5"/>
      <c r="E23" s="6" t="str">
        <f>IF($D23="","",VLOOKUP($D23,기준표!$B$4:$C$12,2,TRUE()))</f>
        <v/>
      </c>
    </row>
    <row r="24" spans="2:5" ht="16.5" customHeight="1">
      <c r="B24" s="3">
        <v>21</v>
      </c>
      <c r="C24" s="8"/>
      <c r="D24" s="5"/>
      <c r="E24" s="6" t="str">
        <f>IF($D24="","",VLOOKUP($D24,기준표!$B$4:$C$12,2,TRUE()))</f>
        <v/>
      </c>
    </row>
    <row r="25" spans="2:5" ht="16.5" customHeight="1">
      <c r="B25" s="3">
        <v>22</v>
      </c>
      <c r="C25" s="8"/>
      <c r="D25" s="5"/>
      <c r="E25" s="6" t="str">
        <f>IF($D25="","",VLOOKUP($D25,기준표!$B$4:$C$12,2,TRUE()))</f>
        <v/>
      </c>
    </row>
    <row r="26" spans="2:5" ht="16.5" customHeight="1">
      <c r="B26" s="3">
        <v>23</v>
      </c>
      <c r="C26" s="8"/>
      <c r="D26" s="5"/>
      <c r="E26" s="6" t="str">
        <f>IF($D26="","",VLOOKUP($D26,기준표!$B$4:$C$12,2,TRUE()))</f>
        <v/>
      </c>
    </row>
    <row r="27" spans="2:5" ht="16.5" customHeight="1">
      <c r="B27" s="3">
        <v>24</v>
      </c>
      <c r="C27" s="8"/>
      <c r="D27" s="5"/>
      <c r="E27" s="6" t="str">
        <f>IF($D27="","",VLOOKUP($D27,기준표!$B$4:$C$12,2,TRUE()))</f>
        <v/>
      </c>
    </row>
    <row r="28" spans="2:5" ht="16.5" customHeight="1">
      <c r="B28" s="3">
        <v>25</v>
      </c>
      <c r="C28" s="8"/>
      <c r="D28" s="5"/>
      <c r="E28" s="6" t="str">
        <f>IF($D28="","",VLOOKUP($D28,기준표!$B$4:$C$12,2,TRUE()))</f>
        <v/>
      </c>
    </row>
    <row r="29" spans="2:5" ht="16.5" customHeight="1">
      <c r="B29" s="3">
        <v>26</v>
      </c>
      <c r="C29" s="8"/>
      <c r="D29" s="5"/>
      <c r="E29" s="6" t="str">
        <f>IF($D29="","",VLOOKUP($D29,기준표!$B$4:$C$12,2,TRUE()))</f>
        <v/>
      </c>
    </row>
    <row r="30" spans="2:5" ht="16.5" customHeight="1">
      <c r="B30" s="3">
        <v>27</v>
      </c>
      <c r="C30" s="8"/>
      <c r="D30" s="5"/>
      <c r="E30" s="6" t="str">
        <f>IF($D30="","",VLOOKUP($D30,기준표!$B$4:$C$12,2,TRUE()))</f>
        <v/>
      </c>
    </row>
    <row r="31" spans="2:5" ht="16.5" customHeight="1">
      <c r="B31" s="3">
        <v>28</v>
      </c>
      <c r="C31" s="8"/>
      <c r="D31" s="5"/>
      <c r="E31" s="6" t="str">
        <f>IF($D31="","",VLOOKUP($D31,기준표!$B$4:$C$12,2,TRUE()))</f>
        <v/>
      </c>
    </row>
    <row r="32" spans="2:5" ht="16.5" customHeight="1">
      <c r="B32" s="3">
        <v>29</v>
      </c>
      <c r="C32" s="8"/>
      <c r="D32" s="5"/>
      <c r="E32" s="6" t="str">
        <f>IF($D32="","",VLOOKUP($D32,기준표!$B$4:$C$12,2,TRUE()))</f>
        <v/>
      </c>
    </row>
    <row r="33" spans="2:5" ht="16.5" customHeight="1">
      <c r="B33" s="3">
        <v>30</v>
      </c>
      <c r="C33" s="8"/>
      <c r="D33" s="5"/>
      <c r="E33" s="6" t="str">
        <f>IF($D33="","",VLOOKUP($D33,기준표!$B$4:$C$12,2,TRUE()))</f>
        <v/>
      </c>
    </row>
    <row r="34" spans="2:5" ht="16.5" customHeight="1">
      <c r="B34" s="3">
        <v>31</v>
      </c>
      <c r="C34" s="8"/>
      <c r="D34" s="5"/>
      <c r="E34" s="6" t="str">
        <f>IF($D34="","",VLOOKUP($D34,기준표!$B$4:$C$12,2,TRUE()))</f>
        <v/>
      </c>
    </row>
    <row r="35" spans="2:5" ht="16.5" customHeight="1">
      <c r="B35" s="3">
        <v>32</v>
      </c>
      <c r="C35" s="8"/>
      <c r="D35" s="5"/>
      <c r="E35" s="6" t="str">
        <f>IF($D35="","",VLOOKUP($D35,기준표!$B$4:$C$12,2,TRUE()))</f>
        <v/>
      </c>
    </row>
    <row r="36" spans="2:5" ht="16.5" customHeight="1">
      <c r="B36" s="3">
        <v>33</v>
      </c>
      <c r="C36" s="8"/>
      <c r="D36" s="5"/>
      <c r="E36" s="6" t="str">
        <f>IF($D36="","",VLOOKUP($D36,기준표!$B$4:$C$12,2,TRUE()))</f>
        <v/>
      </c>
    </row>
    <row r="37" spans="2:5" ht="16.5" customHeight="1">
      <c r="B37" s="3">
        <v>34</v>
      </c>
      <c r="C37" s="8"/>
      <c r="D37" s="5"/>
      <c r="E37" s="6" t="str">
        <f>IF($D37="","",VLOOKUP($D37,기준표!$B$4:$C$12,2,TRUE()))</f>
        <v/>
      </c>
    </row>
    <row r="38" spans="2:5" ht="16.5" customHeight="1">
      <c r="B38" s="3">
        <v>35</v>
      </c>
      <c r="C38" s="8"/>
      <c r="D38" s="5"/>
      <c r="E38" s="6" t="str">
        <f>IF($D38="","",VLOOKUP($D38,기준표!$B$4:$C$12,2,TRUE()))</f>
        <v/>
      </c>
    </row>
    <row r="39" spans="2:5" ht="16.5" customHeight="1">
      <c r="B39" s="3">
        <v>36</v>
      </c>
      <c r="C39" s="8"/>
      <c r="D39" s="5"/>
      <c r="E39" s="6" t="str">
        <f>IF($D39="","",VLOOKUP($D39,기준표!$B$4:$C$12,2,TRUE()))</f>
        <v/>
      </c>
    </row>
    <row r="40" spans="2:5" ht="16.5" customHeight="1">
      <c r="B40" s="3">
        <v>37</v>
      </c>
      <c r="C40" s="8"/>
      <c r="D40" s="5"/>
      <c r="E40" s="6" t="str">
        <f>IF($D40="","",VLOOKUP($D40,기준표!$B$4:$C$12,2,TRUE()))</f>
        <v/>
      </c>
    </row>
    <row r="41" spans="2:5" ht="16.5" customHeight="1">
      <c r="B41" s="3">
        <v>38</v>
      </c>
      <c r="C41" s="8"/>
      <c r="D41" s="5"/>
      <c r="E41" s="6" t="str">
        <f>IF($D41="","",VLOOKUP($D41,기준표!$B$4:$C$12,2,TRUE()))</f>
        <v/>
      </c>
    </row>
    <row r="42" spans="2:5" ht="16.5" customHeight="1">
      <c r="B42" s="3">
        <v>39</v>
      </c>
      <c r="C42" s="8"/>
      <c r="D42" s="5"/>
      <c r="E42" s="6" t="str">
        <f>IF($D42="","",VLOOKUP($D42,기준표!$B$4:$C$12,2,TRUE()))</f>
        <v/>
      </c>
    </row>
    <row r="43" spans="2:5" ht="16.5" customHeight="1">
      <c r="B43" s="3">
        <v>40</v>
      </c>
      <c r="C43" s="8"/>
      <c r="D43" s="5"/>
      <c r="E43" s="6" t="str">
        <f>IF($D43="","",VLOOKUP($D43,기준표!$B$4:$C$12,2,TRUE()))</f>
        <v/>
      </c>
    </row>
    <row r="44" spans="2:5" ht="16.5" customHeight="1">
      <c r="B44" s="3">
        <v>41</v>
      </c>
      <c r="C44" s="8"/>
      <c r="D44" s="5"/>
      <c r="E44" s="6" t="str">
        <f>IF($D44="","",VLOOKUP($D44,기준표!$B$4:$C$12,2,TRUE()))</f>
        <v/>
      </c>
    </row>
    <row r="45" spans="2:5" ht="16.5" customHeight="1">
      <c r="B45" s="3">
        <v>42</v>
      </c>
      <c r="C45" s="8"/>
      <c r="D45" s="5"/>
      <c r="E45" s="6" t="str">
        <f>IF($D45="","",VLOOKUP($D45,기준표!$B$4:$C$12,2,TRUE()))</f>
        <v/>
      </c>
    </row>
    <row r="46" spans="2:5" ht="16.5" customHeight="1">
      <c r="B46" s="3">
        <v>43</v>
      </c>
      <c r="C46" s="8"/>
      <c r="D46" s="5"/>
      <c r="E46" s="6" t="str">
        <f>IF($D46="","",VLOOKUP($D46,기준표!$B$4:$C$12,2,TRUE()))</f>
        <v/>
      </c>
    </row>
    <row r="47" spans="2:5" ht="16.5" customHeight="1">
      <c r="B47" s="3">
        <v>44</v>
      </c>
      <c r="C47" s="8"/>
      <c r="D47" s="5"/>
      <c r="E47" s="6" t="str">
        <f>IF($D47="","",VLOOKUP($D47,기준표!$B$4:$C$12,2,TRUE()))</f>
        <v/>
      </c>
    </row>
    <row r="48" spans="2:5" ht="16.5" customHeight="1">
      <c r="B48" s="3">
        <v>45</v>
      </c>
      <c r="C48" s="8"/>
      <c r="D48" s="5"/>
      <c r="E48" s="6" t="str">
        <f>IF($D48="","",VLOOKUP($D48,기준표!$B$4:$C$12,2,TRUE()))</f>
        <v/>
      </c>
    </row>
    <row r="49" spans="2:5" ht="16.5" customHeight="1">
      <c r="B49" s="3">
        <v>46</v>
      </c>
      <c r="C49" s="8"/>
      <c r="D49" s="5"/>
      <c r="E49" s="6" t="str">
        <f>IF($D49="","",VLOOKUP($D49,기준표!$B$4:$C$12,2,TRUE()))</f>
        <v/>
      </c>
    </row>
    <row r="50" spans="2:5" ht="16.5" customHeight="1">
      <c r="B50" s="3">
        <v>47</v>
      </c>
      <c r="C50" s="8"/>
      <c r="D50" s="5"/>
      <c r="E50" s="6" t="str">
        <f>IF($D50="","",VLOOKUP($D50,기준표!$B$4:$C$12,2,TRUE()))</f>
        <v/>
      </c>
    </row>
    <row r="51" spans="2:5" ht="16.5" customHeight="1">
      <c r="B51" s="3">
        <v>48</v>
      </c>
      <c r="C51" s="8"/>
      <c r="D51" s="5"/>
      <c r="E51" s="6" t="str">
        <f>IF($D51="","",VLOOKUP($D51,기준표!$B$4:$C$12,2,TRUE()))</f>
        <v/>
      </c>
    </row>
    <row r="52" spans="2:5" ht="16.5" customHeight="1">
      <c r="B52" s="3">
        <v>49</v>
      </c>
      <c r="C52" s="8"/>
      <c r="D52" s="5"/>
      <c r="E52" s="6" t="str">
        <f>IF($D52="","",VLOOKUP($D52,기준표!$B$4:$C$12,2,TRUE()))</f>
        <v/>
      </c>
    </row>
    <row r="53" spans="2:5" ht="16.5" customHeight="1">
      <c r="B53" s="3">
        <v>50</v>
      </c>
      <c r="C53" s="8"/>
      <c r="D53" s="5"/>
      <c r="E53" s="6" t="str">
        <f>IF($D53="","",VLOOKUP($D53,기준표!$B$4:$C$12,2,TRUE()))</f>
        <v/>
      </c>
    </row>
    <row r="54" spans="2:5" ht="16.5" customHeight="1">
      <c r="B54" s="3">
        <v>51</v>
      </c>
      <c r="C54" s="8"/>
      <c r="D54" s="5"/>
      <c r="E54" s="6" t="str">
        <f>IF($D54="","",VLOOKUP($D54,기준표!$B$4:$C$12,2,TRUE()))</f>
        <v/>
      </c>
    </row>
    <row r="55" spans="2:5" ht="16.5" customHeight="1">
      <c r="B55" s="3">
        <v>52</v>
      </c>
      <c r="C55" s="8"/>
      <c r="D55" s="5"/>
      <c r="E55" s="6" t="str">
        <f>IF($D55="","",VLOOKUP($D55,기준표!$B$4:$C$12,2,TRUE()))</f>
        <v/>
      </c>
    </row>
    <row r="56" spans="2:5" ht="16.5" customHeight="1">
      <c r="B56" s="3">
        <v>53</v>
      </c>
      <c r="C56" s="8"/>
      <c r="D56" s="5"/>
      <c r="E56" s="6" t="str">
        <f>IF($D56="","",VLOOKUP($D56,기준표!$B$4:$C$12,2,TRUE()))</f>
        <v/>
      </c>
    </row>
    <row r="57" spans="2:5" ht="16.5" customHeight="1">
      <c r="B57" s="3">
        <v>54</v>
      </c>
      <c r="C57" s="8"/>
      <c r="D57" s="5"/>
      <c r="E57" s="6" t="str">
        <f>IF($D57="","",VLOOKUP($D57,기준표!$B$4:$C$12,2,TRUE()))</f>
        <v/>
      </c>
    </row>
    <row r="58" spans="2:5" ht="16.5" customHeight="1">
      <c r="B58" s="3">
        <v>55</v>
      </c>
      <c r="C58" s="8"/>
      <c r="D58" s="5"/>
      <c r="E58" s="6" t="str">
        <f>IF($D58="","",VLOOKUP($D58,기준표!$B$4:$C$12,2,TRUE()))</f>
        <v/>
      </c>
    </row>
    <row r="59" spans="2:5" ht="16.5" customHeight="1">
      <c r="B59" s="3">
        <v>56</v>
      </c>
      <c r="C59" s="8"/>
      <c r="D59" s="5"/>
      <c r="E59" s="6" t="str">
        <f>IF($D59="","",VLOOKUP($D59,기준표!$B$4:$C$12,2,TRUE()))</f>
        <v/>
      </c>
    </row>
    <row r="60" spans="2:5" ht="16.5" customHeight="1">
      <c r="B60" s="3">
        <v>57</v>
      </c>
      <c r="C60" s="8"/>
      <c r="D60" s="5"/>
      <c r="E60" s="6" t="str">
        <f>IF($D60="","",VLOOKUP($D60,기준표!$B$4:$C$12,2,TRUE()))</f>
        <v/>
      </c>
    </row>
    <row r="61" spans="2:5" ht="16.5" customHeight="1">
      <c r="B61" s="3">
        <v>58</v>
      </c>
      <c r="C61" s="8"/>
      <c r="D61" s="5"/>
      <c r="E61" s="6" t="str">
        <f>IF($D61="","",VLOOKUP($D61,기준표!$B$4:$C$12,2,TRUE()))</f>
        <v/>
      </c>
    </row>
    <row r="62" spans="2:5" ht="16.5" customHeight="1">
      <c r="B62" s="3">
        <v>59</v>
      </c>
      <c r="C62" s="8"/>
      <c r="D62" s="5"/>
      <c r="E62" s="6" t="str">
        <f>IF($D62="","",VLOOKUP($D62,기준표!$B$4:$C$12,2,TRUE()))</f>
        <v/>
      </c>
    </row>
    <row r="63" spans="2:5" ht="16.5" customHeight="1">
      <c r="B63" s="3">
        <v>60</v>
      </c>
      <c r="C63" s="8"/>
      <c r="D63" s="5"/>
      <c r="E63" s="6" t="str">
        <f>IF($D63="","",VLOOKUP($D63,기준표!$B$4:$C$12,2,TRUE()))</f>
        <v/>
      </c>
    </row>
    <row r="64" spans="2:5" ht="16.5" customHeight="1">
      <c r="B64" s="3">
        <v>61</v>
      </c>
      <c r="C64" s="8"/>
      <c r="D64" s="5"/>
      <c r="E64" s="6" t="str">
        <f>IF($D64="","",VLOOKUP($D64,기준표!$B$4:$C$12,2,TRUE()))</f>
        <v/>
      </c>
    </row>
    <row r="65" spans="2:5" ht="16.5" customHeight="1">
      <c r="B65" s="3">
        <v>62</v>
      </c>
      <c r="C65" s="8"/>
      <c r="D65" s="5"/>
      <c r="E65" s="6" t="str">
        <f>IF($D65="","",VLOOKUP($D65,기준표!$B$4:$C$12,2,TRUE()))</f>
        <v/>
      </c>
    </row>
    <row r="66" spans="2:5" ht="16.5" customHeight="1">
      <c r="B66" s="3">
        <v>63</v>
      </c>
      <c r="C66" s="8"/>
      <c r="D66" s="5"/>
      <c r="E66" s="6" t="str">
        <f>IF($D66="","",VLOOKUP($D66,기준표!$B$4:$C$12,2,TRUE()))</f>
        <v/>
      </c>
    </row>
    <row r="67" spans="2:5" ht="16.5" customHeight="1">
      <c r="B67" s="3">
        <v>64</v>
      </c>
      <c r="C67" s="8"/>
      <c r="D67" s="5"/>
      <c r="E67" s="6" t="str">
        <f>IF($D67="","",VLOOKUP($D67,기준표!$B$4:$C$12,2,TRUE()))</f>
        <v/>
      </c>
    </row>
    <row r="68" spans="2:5" ht="16.5" customHeight="1">
      <c r="B68" s="3">
        <v>65</v>
      </c>
      <c r="C68" s="8"/>
      <c r="D68" s="5"/>
      <c r="E68" s="6" t="str">
        <f>IF($D68="","",VLOOKUP($D68,기준표!$B$4:$C$12,2,TRUE()))</f>
        <v/>
      </c>
    </row>
    <row r="69" spans="2:5" ht="16.5" customHeight="1">
      <c r="B69" s="3">
        <v>66</v>
      </c>
      <c r="C69" s="8"/>
      <c r="D69" s="5"/>
      <c r="E69" s="6" t="str">
        <f>IF($D69="","",VLOOKUP($D69,기준표!$B$4:$C$12,2,TRUE()))</f>
        <v/>
      </c>
    </row>
    <row r="70" spans="2:5" ht="16.5" customHeight="1">
      <c r="B70" s="3">
        <v>67</v>
      </c>
      <c r="C70" s="8"/>
      <c r="D70" s="5"/>
      <c r="E70" s="6" t="str">
        <f>IF($D70="","",VLOOKUP($D70,기준표!$B$4:$C$12,2,TRUE()))</f>
        <v/>
      </c>
    </row>
    <row r="71" spans="2:5" ht="16.5" customHeight="1">
      <c r="B71" s="3">
        <v>68</v>
      </c>
      <c r="C71" s="8"/>
      <c r="D71" s="5"/>
      <c r="E71" s="6" t="str">
        <f>IF($D71="","",VLOOKUP($D71,기준표!$B$4:$C$12,2,TRUE()))</f>
        <v/>
      </c>
    </row>
    <row r="72" spans="2:5" ht="16.5" customHeight="1">
      <c r="B72" s="3">
        <v>69</v>
      </c>
      <c r="C72" s="8"/>
      <c r="D72" s="5"/>
      <c r="E72" s="6" t="str">
        <f>IF($D72="","",VLOOKUP($D72,기준표!$B$4:$C$12,2,TRUE()))</f>
        <v/>
      </c>
    </row>
    <row r="73" spans="2:5" ht="16.5" customHeight="1">
      <c r="B73" s="3">
        <v>70</v>
      </c>
      <c r="C73" s="8"/>
      <c r="D73" s="5"/>
      <c r="E73" s="6" t="str">
        <f>IF($D73="","",VLOOKUP($D73,기준표!$B$4:$C$12,2,TRUE()))</f>
        <v/>
      </c>
    </row>
  </sheetData>
  <mergeCells count="2">
    <mergeCell ref="C1:E1"/>
    <mergeCell ref="B2:E2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1" sqref="C21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7">
        <v>46193</v>
      </c>
      <c r="D1" s="26"/>
      <c r="E1" s="26"/>
    </row>
    <row r="2" spans="2:8" ht="18" customHeight="1">
      <c r="B2" s="25" t="s">
        <v>97</v>
      </c>
      <c r="C2" s="25"/>
      <c r="D2" s="25"/>
      <c r="E2" s="25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G4" s="7" t="s">
        <v>10</v>
      </c>
      <c r="H4" s="3">
        <f t="shared" ref="H4:H12" si="0">COUNTIF($E$68:$E$73,G4)</f>
        <v>0</v>
      </c>
    </row>
    <row r="5" spans="2:8" ht="16.5" customHeight="1">
      <c r="G5" s="7" t="s">
        <v>12</v>
      </c>
      <c r="H5" s="3">
        <f t="shared" si="0"/>
        <v>0</v>
      </c>
    </row>
    <row r="6" spans="2:8" ht="16.5" customHeight="1">
      <c r="G6" s="7" t="s">
        <v>14</v>
      </c>
      <c r="H6" s="3">
        <f t="shared" si="0"/>
        <v>0</v>
      </c>
    </row>
    <row r="7" spans="2:8" ht="16.5" customHeight="1">
      <c r="G7" s="7" t="s">
        <v>16</v>
      </c>
      <c r="H7" s="3">
        <f t="shared" si="0"/>
        <v>0</v>
      </c>
    </row>
    <row r="8" spans="2:8" ht="16.5" customHeight="1">
      <c r="G8" s="7" t="s">
        <v>18</v>
      </c>
      <c r="H8" s="3">
        <f t="shared" si="0"/>
        <v>0</v>
      </c>
    </row>
    <row r="9" spans="2:8" ht="16.5" customHeight="1">
      <c r="G9" s="7" t="s">
        <v>20</v>
      </c>
      <c r="H9" s="3">
        <f t="shared" si="0"/>
        <v>0</v>
      </c>
    </row>
    <row r="10" spans="2:8" ht="16.5" customHeight="1">
      <c r="G10" s="7" t="s">
        <v>22</v>
      </c>
      <c r="H10" s="3">
        <f t="shared" si="0"/>
        <v>0</v>
      </c>
    </row>
    <row r="11" spans="2:8" ht="16.5" customHeight="1">
      <c r="G11" s="7" t="s">
        <v>24</v>
      </c>
      <c r="H11" s="3">
        <f t="shared" si="0"/>
        <v>0</v>
      </c>
    </row>
    <row r="12" spans="2:8" ht="16.5" customHeight="1">
      <c r="G12" s="7" t="s">
        <v>26</v>
      </c>
      <c r="H12" s="3">
        <f t="shared" si="0"/>
        <v>0</v>
      </c>
    </row>
    <row r="13" spans="2:8" ht="16.5" customHeight="1">
      <c r="G13" s="9" t="s">
        <v>28</v>
      </c>
      <c r="H13" s="6">
        <f>COUNTA($C$68:$C$73)</f>
        <v>0</v>
      </c>
    </row>
    <row r="14" spans="2:8" ht="16.5" customHeight="1">
      <c r="G14" s="9" t="s">
        <v>30</v>
      </c>
      <c r="H14" s="10">
        <f>SUM($D$68:$D$73)</f>
        <v>0</v>
      </c>
    </row>
    <row r="15" spans="2:8" ht="16.5" customHeight="1"/>
    <row r="16" spans="2:8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spans="2:5" ht="16.5" customHeight="1"/>
    <row r="66" spans="2:5" ht="16.5" customHeight="1"/>
    <row r="67" spans="2:5" ht="16.5" customHeight="1"/>
    <row r="68" spans="2:5" ht="16.5" customHeight="1">
      <c r="B68" s="3"/>
      <c r="C68" s="8"/>
      <c r="D68" s="5"/>
      <c r="E68" s="6" t="str">
        <f>IF($D68="","",VLOOKUP($D68,기준표!$B$4:$C$12,2,TRUE()))</f>
        <v/>
      </c>
    </row>
    <row r="69" spans="2:5" ht="16.5" customHeight="1">
      <c r="B69" s="3"/>
      <c r="C69" s="8"/>
      <c r="D69" s="5"/>
      <c r="E69" s="6" t="str">
        <f>IF($D69="","",VLOOKUP($D69,기준표!$B$4:$C$12,2,TRUE()))</f>
        <v/>
      </c>
    </row>
    <row r="70" spans="2:5" ht="16.5" customHeight="1">
      <c r="B70" s="3"/>
      <c r="C70" s="8"/>
      <c r="D70" s="5"/>
      <c r="E70" s="6" t="str">
        <f>IF($D70="","",VLOOKUP($D70,기준표!$B$4:$C$12,2,TRUE()))</f>
        <v/>
      </c>
    </row>
    <row r="71" spans="2:5" ht="16.5" customHeight="1">
      <c r="B71" s="3"/>
      <c r="C71" s="8"/>
      <c r="D71" s="5"/>
      <c r="E71" s="6" t="str">
        <f>IF($D71="","",VLOOKUP($D71,기준표!$B$4:$C$12,2,TRUE()))</f>
        <v/>
      </c>
    </row>
    <row r="72" spans="2:5" ht="16.5" customHeight="1">
      <c r="B72" s="3"/>
      <c r="C72" s="8"/>
      <c r="D72" s="5"/>
      <c r="E72" s="6" t="str">
        <f>IF($D72="","",VLOOKUP($D72,기준표!$B$4:$C$12,2,TRUE()))</f>
        <v/>
      </c>
    </row>
    <row r="73" spans="2:5" ht="16.5" customHeight="1">
      <c r="B73" s="3"/>
      <c r="C73" s="8"/>
      <c r="D73" s="5"/>
      <c r="E73" s="6" t="str">
        <f>IF($D73="","",VLOOKUP($D73,기준표!$B$4:$C$12,2,TRUE()))</f>
        <v/>
      </c>
    </row>
  </sheetData>
  <mergeCells count="2">
    <mergeCell ref="C1:E1"/>
    <mergeCell ref="B2:E2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0"/>
  <sheetViews>
    <sheetView tabSelected="1" zoomScaleNormal="100" workbookViewId="0">
      <pane ySplit="2" topLeftCell="A3" activePane="bottomLeft" state="frozen"/>
      <selection pane="bottomLeft" activeCell="C60" sqref="C60"/>
    </sheetView>
  </sheetViews>
  <sheetFormatPr defaultColWidth="8.7109375" defaultRowHeight="15"/>
  <cols>
    <col min="1" max="1" width="13" customWidth="1"/>
    <col min="2" max="2" width="6" customWidth="1"/>
    <col min="3" max="3" width="36.85546875" customWidth="1"/>
    <col min="4" max="4" width="11.85546875" customWidth="1"/>
    <col min="5" max="5" width="7.5703125" customWidth="1"/>
  </cols>
  <sheetData>
    <row r="1" spans="1:5" ht="20.25" customHeight="1">
      <c r="A1" s="25" t="s">
        <v>114</v>
      </c>
      <c r="B1" s="25"/>
      <c r="C1" s="25"/>
      <c r="D1" s="25"/>
      <c r="E1" s="25"/>
    </row>
    <row r="2" spans="1:5">
      <c r="A2" s="2" t="s">
        <v>115</v>
      </c>
      <c r="B2" s="2" t="s">
        <v>3</v>
      </c>
      <c r="C2" s="2" t="s">
        <v>4</v>
      </c>
      <c r="D2" s="2" t="s">
        <v>5</v>
      </c>
      <c r="E2" s="2" t="s">
        <v>6</v>
      </c>
    </row>
    <row r="3" spans="1:5" ht="16.5" customHeight="1">
      <c r="A3" s="24">
        <v>46186</v>
      </c>
      <c r="B3" s="3">
        <v>1</v>
      </c>
      <c r="C3" s="11" t="s">
        <v>29</v>
      </c>
      <c r="D3" s="5">
        <v>20124674</v>
      </c>
      <c r="E3" s="6" t="str">
        <f>IF($D3="","",VLOOKUP($D3,기준표!$B$4:$C$12,2,TRUE()))</f>
        <v>9단계</v>
      </c>
    </row>
    <row r="4" spans="1:5" ht="16.5" customHeight="1">
      <c r="A4" s="24">
        <v>46186</v>
      </c>
      <c r="B4" s="3">
        <v>2</v>
      </c>
      <c r="C4" s="8" t="s">
        <v>21</v>
      </c>
      <c r="D4" s="5">
        <v>17878446</v>
      </c>
      <c r="E4" s="6" t="str">
        <f>IF($D4="","",VLOOKUP($D4,기준표!$B$4:$C$12,2,TRUE()))</f>
        <v>9단계</v>
      </c>
    </row>
    <row r="5" spans="1:5" ht="16.5" customHeight="1">
      <c r="A5" s="24">
        <v>46186</v>
      </c>
      <c r="B5" s="3">
        <v>3</v>
      </c>
      <c r="C5" s="11" t="s">
        <v>19</v>
      </c>
      <c r="D5" s="5">
        <v>17252741</v>
      </c>
      <c r="E5" s="6" t="str">
        <f>IF($D5="","",VLOOKUP($D5,기준표!$B$4:$C$12,2,TRUE()))</f>
        <v>9단계</v>
      </c>
    </row>
    <row r="6" spans="1:5" ht="16.5" customHeight="1">
      <c r="A6" s="24">
        <v>46186</v>
      </c>
      <c r="B6" s="3">
        <v>4</v>
      </c>
      <c r="C6" s="11" t="s">
        <v>34</v>
      </c>
      <c r="D6" s="5">
        <v>14018518</v>
      </c>
      <c r="E6" s="6" t="str">
        <f>IF($D6="","",VLOOKUP($D6,기준표!$B$4:$C$12,2,TRUE()))</f>
        <v>9단계</v>
      </c>
    </row>
    <row r="7" spans="1:5" ht="16.5" customHeight="1">
      <c r="A7" s="24">
        <v>46186</v>
      </c>
      <c r="B7" s="3">
        <v>5</v>
      </c>
      <c r="C7" s="11" t="s">
        <v>73</v>
      </c>
      <c r="D7" s="5">
        <v>13474398</v>
      </c>
      <c r="E7" s="6" t="str">
        <f>IF($D7="","",VLOOKUP($D7,기준표!$B$4:$C$12,2,TRUE()))</f>
        <v>9단계</v>
      </c>
    </row>
    <row r="8" spans="1:5" ht="16.5" customHeight="1">
      <c r="A8" s="24">
        <v>46186</v>
      </c>
      <c r="B8" s="3">
        <v>6</v>
      </c>
      <c r="C8" s="11" t="s">
        <v>98</v>
      </c>
      <c r="D8" s="5">
        <v>13425532</v>
      </c>
      <c r="E8" s="6" t="str">
        <f>IF($D8="","",VLOOKUP($D8,기준표!$B$4:$C$12,2,TRUE()))</f>
        <v>9단계</v>
      </c>
    </row>
    <row r="9" spans="1:5" ht="16.5" customHeight="1">
      <c r="A9" s="24">
        <v>46186</v>
      </c>
      <c r="B9" s="3">
        <v>7</v>
      </c>
      <c r="C9" s="11" t="s">
        <v>99</v>
      </c>
      <c r="D9" s="5">
        <v>11951501</v>
      </c>
      <c r="E9" s="6" t="str">
        <f>IF($D9="","",VLOOKUP($D9,기준표!$B$4:$C$12,2,TRUE()))</f>
        <v>9단계</v>
      </c>
    </row>
    <row r="10" spans="1:5" ht="16.5" customHeight="1">
      <c r="A10" s="24">
        <v>46186</v>
      </c>
      <c r="B10" s="3">
        <v>8</v>
      </c>
      <c r="C10" s="11" t="s">
        <v>46</v>
      </c>
      <c r="D10" s="5">
        <v>11050986</v>
      </c>
      <c r="E10" s="6" t="str">
        <f>IF($D10="","",VLOOKUP($D10,기준표!$B$4:$C$12,2,TRUE()))</f>
        <v>9단계</v>
      </c>
    </row>
    <row r="11" spans="1:5" ht="16.5" customHeight="1">
      <c r="A11" s="24">
        <v>46186</v>
      </c>
      <c r="B11" s="3">
        <v>9</v>
      </c>
      <c r="C11" s="11" t="s">
        <v>15</v>
      </c>
      <c r="D11" s="5">
        <v>11050649</v>
      </c>
      <c r="E11" s="6" t="str">
        <f>IF($D11="","",VLOOKUP($D11,기준표!$B$4:$C$12,2,TRUE()))</f>
        <v>9단계</v>
      </c>
    </row>
    <row r="12" spans="1:5" ht="16.5" customHeight="1">
      <c r="A12" s="24">
        <v>46186</v>
      </c>
      <c r="B12" s="3">
        <v>10</v>
      </c>
      <c r="C12" s="11" t="s">
        <v>63</v>
      </c>
      <c r="D12" s="5">
        <v>10955529</v>
      </c>
      <c r="E12" s="6" t="str">
        <f>IF($D12="","",VLOOKUP($D12,기준표!$B$4:$C$12,2,TRUE()))</f>
        <v>9단계</v>
      </c>
    </row>
    <row r="13" spans="1:5" ht="16.5" customHeight="1">
      <c r="A13" s="24">
        <v>46186</v>
      </c>
      <c r="B13" s="3">
        <v>11</v>
      </c>
      <c r="C13" s="8" t="s">
        <v>11</v>
      </c>
      <c r="D13" s="5">
        <v>10698509</v>
      </c>
      <c r="E13" s="6" t="str">
        <f>IF($D13="","",VLOOKUP($D13,기준표!$B$4:$C$12,2,TRUE()))</f>
        <v>9단계</v>
      </c>
    </row>
    <row r="14" spans="1:5" ht="16.5" customHeight="1">
      <c r="A14" s="24">
        <v>46186</v>
      </c>
      <c r="B14" s="3">
        <v>12</v>
      </c>
      <c r="C14" s="11" t="s">
        <v>100</v>
      </c>
      <c r="D14" s="5">
        <v>10412961</v>
      </c>
      <c r="E14" s="6" t="str">
        <f>IF($D14="","",VLOOKUP($D14,기준표!$B$4:$C$12,2,TRUE()))</f>
        <v>9단계</v>
      </c>
    </row>
    <row r="15" spans="1:5" ht="16.5" customHeight="1">
      <c r="A15" s="24">
        <v>46186</v>
      </c>
      <c r="B15" s="3">
        <v>13</v>
      </c>
      <c r="C15" s="11" t="s">
        <v>23</v>
      </c>
      <c r="D15" s="5">
        <v>10411072</v>
      </c>
      <c r="E15" s="6" t="str">
        <f>IF($D15="","",VLOOKUP($D15,기준표!$B$4:$C$12,2,TRUE()))</f>
        <v>9단계</v>
      </c>
    </row>
    <row r="16" spans="1:5" ht="16.5" customHeight="1">
      <c r="A16" s="24">
        <v>46186</v>
      </c>
      <c r="B16" s="3">
        <v>14</v>
      </c>
      <c r="C16" s="11" t="s">
        <v>38</v>
      </c>
      <c r="D16" s="5">
        <v>9539236</v>
      </c>
      <c r="E16" s="6" t="str">
        <f>IF($D16="","",VLOOKUP($D16,기준표!$B$4:$C$12,2,TRUE()))</f>
        <v>9단계</v>
      </c>
    </row>
    <row r="17" spans="1:5" ht="16.5" customHeight="1">
      <c r="A17" s="24">
        <v>46186</v>
      </c>
      <c r="B17" s="3">
        <v>15</v>
      </c>
      <c r="C17" s="11" t="s">
        <v>64</v>
      </c>
      <c r="D17" s="5">
        <v>9099782</v>
      </c>
      <c r="E17" s="6" t="str">
        <f>IF($D17="","",VLOOKUP($D17,기준표!$B$4:$C$12,2,TRUE()))</f>
        <v>9단계</v>
      </c>
    </row>
    <row r="18" spans="1:5" ht="16.5" customHeight="1">
      <c r="A18" s="24">
        <v>46186</v>
      </c>
      <c r="B18" s="3">
        <v>16</v>
      </c>
      <c r="C18" s="11" t="s">
        <v>101</v>
      </c>
      <c r="D18" s="5">
        <v>8928749</v>
      </c>
      <c r="E18" s="6" t="str">
        <f>IF($D18="","",VLOOKUP($D18,기준표!$B$4:$C$12,2,TRUE()))</f>
        <v>9단계</v>
      </c>
    </row>
    <row r="19" spans="1:5" ht="16.5" customHeight="1">
      <c r="A19" s="24">
        <v>46186</v>
      </c>
      <c r="B19" s="3">
        <v>17</v>
      </c>
      <c r="C19" s="11" t="s">
        <v>41</v>
      </c>
      <c r="D19" s="5">
        <v>8509653</v>
      </c>
      <c r="E19" s="6" t="str">
        <f>IF($D19="","",VLOOKUP($D19,기준표!$B$4:$C$12,2,TRUE()))</f>
        <v>9단계</v>
      </c>
    </row>
    <row r="20" spans="1:5" ht="16.5" customHeight="1">
      <c r="A20" s="24">
        <v>46186</v>
      </c>
      <c r="B20" s="3">
        <v>18</v>
      </c>
      <c r="C20" s="11" t="s">
        <v>102</v>
      </c>
      <c r="D20" s="5">
        <v>8453735</v>
      </c>
      <c r="E20" s="6" t="str">
        <f>IF($D20="","",VLOOKUP($D20,기준표!$B$4:$C$12,2,TRUE()))</f>
        <v>9단계</v>
      </c>
    </row>
    <row r="21" spans="1:5" ht="16.5" customHeight="1">
      <c r="A21" s="24">
        <v>46186</v>
      </c>
      <c r="B21" s="3">
        <v>19</v>
      </c>
      <c r="C21" s="11" t="s">
        <v>103</v>
      </c>
      <c r="D21" s="5">
        <v>8390684</v>
      </c>
      <c r="E21" s="6" t="str">
        <f>IF($D21="","",VLOOKUP($D21,기준표!$B$4:$C$12,2,TRUE()))</f>
        <v>9단계</v>
      </c>
    </row>
    <row r="22" spans="1:5" ht="16.5" customHeight="1">
      <c r="A22" s="24">
        <v>46186</v>
      </c>
      <c r="B22" s="3">
        <v>20</v>
      </c>
      <c r="C22" s="11" t="s">
        <v>31</v>
      </c>
      <c r="D22" s="5">
        <v>8385975</v>
      </c>
      <c r="E22" s="6" t="str">
        <f>IF($D22="","",VLOOKUP($D22,기준표!$B$4:$C$12,2,TRUE()))</f>
        <v>9단계</v>
      </c>
    </row>
    <row r="23" spans="1:5" ht="16.5" customHeight="1">
      <c r="A23" s="24">
        <v>46186</v>
      </c>
      <c r="B23" s="3">
        <v>21</v>
      </c>
      <c r="C23" s="11" t="s">
        <v>39</v>
      </c>
      <c r="D23" s="5">
        <v>7931262</v>
      </c>
      <c r="E23" s="6" t="str">
        <f>IF($D23="","",VLOOKUP($D23,기준표!$B$4:$C$12,2,TRUE()))</f>
        <v>9단계</v>
      </c>
    </row>
    <row r="24" spans="1:5" ht="16.5" customHeight="1">
      <c r="A24" s="24">
        <v>46186</v>
      </c>
      <c r="B24" s="3">
        <v>22</v>
      </c>
      <c r="C24" s="11" t="s">
        <v>80</v>
      </c>
      <c r="D24" s="5">
        <v>7760606</v>
      </c>
      <c r="E24" s="6" t="str">
        <f>IF($D24="","",VLOOKUP($D24,기준표!$B$4:$C$12,2,TRUE()))</f>
        <v>9단계</v>
      </c>
    </row>
    <row r="25" spans="1:5" ht="16.5" customHeight="1">
      <c r="A25" s="24">
        <v>46186</v>
      </c>
      <c r="B25" s="3">
        <v>23</v>
      </c>
      <c r="C25" s="11" t="s">
        <v>62</v>
      </c>
      <c r="D25" s="5">
        <v>7534842</v>
      </c>
      <c r="E25" s="6" t="str">
        <f>IF($D25="","",VLOOKUP($D25,기준표!$B$4:$C$12,2,TRUE()))</f>
        <v>9단계</v>
      </c>
    </row>
    <row r="26" spans="1:5" ht="16.5" customHeight="1">
      <c r="A26" s="24">
        <v>46186</v>
      </c>
      <c r="B26" s="3">
        <v>24</v>
      </c>
      <c r="C26" s="11" t="s">
        <v>43</v>
      </c>
      <c r="D26" s="5">
        <v>7400843</v>
      </c>
      <c r="E26" s="6" t="str">
        <f>IF($D26="","",VLOOKUP($D26,기준표!$B$4:$C$12,2,TRUE()))</f>
        <v>9단계</v>
      </c>
    </row>
    <row r="27" spans="1:5" ht="16.5" customHeight="1">
      <c r="A27" s="24">
        <v>46186</v>
      </c>
      <c r="B27" s="3">
        <v>25</v>
      </c>
      <c r="C27" s="11" t="s">
        <v>104</v>
      </c>
      <c r="D27" s="5">
        <v>7282637</v>
      </c>
      <c r="E27" s="6" t="str">
        <f>IF($D27="","",VLOOKUP($D27,기준표!$B$4:$C$12,2,TRUE()))</f>
        <v>9단계</v>
      </c>
    </row>
    <row r="28" spans="1:5" ht="16.5" customHeight="1">
      <c r="A28" s="24">
        <v>46186</v>
      </c>
      <c r="B28" s="3">
        <v>26</v>
      </c>
      <c r="C28" s="11" t="s">
        <v>69</v>
      </c>
      <c r="D28" s="5">
        <v>7281876</v>
      </c>
      <c r="E28" s="6" t="str">
        <f>IF($D28="","",VLOOKUP($D28,기준표!$B$4:$C$12,2,TRUE()))</f>
        <v>9단계</v>
      </c>
    </row>
    <row r="29" spans="1:5" ht="16.5" customHeight="1">
      <c r="A29" s="24">
        <v>46186</v>
      </c>
      <c r="B29" s="3">
        <v>27</v>
      </c>
      <c r="C29" s="11" t="s">
        <v>40</v>
      </c>
      <c r="D29" s="5">
        <v>7280918</v>
      </c>
      <c r="E29" s="6" t="str">
        <f>IF($D29="","",VLOOKUP($D29,기준표!$B$4:$C$12,2,TRUE()))</f>
        <v>9단계</v>
      </c>
    </row>
    <row r="30" spans="1:5" ht="16.5" customHeight="1">
      <c r="A30" s="24">
        <v>46186</v>
      </c>
      <c r="B30" s="3">
        <v>28</v>
      </c>
      <c r="C30" s="11" t="s">
        <v>13</v>
      </c>
      <c r="D30" s="5">
        <v>7272828</v>
      </c>
      <c r="E30" s="6" t="str">
        <f>IF($D30="","",VLOOKUP($D30,기준표!$B$4:$C$12,2,TRUE()))</f>
        <v>9단계</v>
      </c>
    </row>
    <row r="31" spans="1:5" ht="16.5" customHeight="1">
      <c r="A31" s="24">
        <v>46186</v>
      </c>
      <c r="B31" s="3">
        <v>29</v>
      </c>
      <c r="C31" s="11" t="s">
        <v>45</v>
      </c>
      <c r="D31" s="5">
        <v>7236458</v>
      </c>
      <c r="E31" s="6" t="str">
        <f>IF($D31="","",VLOOKUP($D31,기준표!$B$4:$C$12,2,TRUE()))</f>
        <v>9단계</v>
      </c>
    </row>
    <row r="32" spans="1:5" ht="16.5" customHeight="1">
      <c r="A32" s="24">
        <v>46186</v>
      </c>
      <c r="B32" s="3">
        <v>30</v>
      </c>
      <c r="C32" s="11" t="s">
        <v>36</v>
      </c>
      <c r="D32" s="5">
        <v>6986371</v>
      </c>
      <c r="E32" s="6" t="str">
        <f>IF($D32="","",VLOOKUP($D32,기준표!$B$4:$C$12,2,TRUE()))</f>
        <v>8단계</v>
      </c>
    </row>
    <row r="33" spans="1:5" ht="16.5" customHeight="1">
      <c r="A33" s="24">
        <v>46186</v>
      </c>
      <c r="B33" s="3">
        <v>31</v>
      </c>
      <c r="C33" s="11" t="s">
        <v>105</v>
      </c>
      <c r="D33" s="5">
        <v>5884130</v>
      </c>
      <c r="E33" s="6" t="str">
        <f>IF($D33="","",VLOOKUP($D33,기준표!$B$4:$C$12,2,TRUE()))</f>
        <v>8단계</v>
      </c>
    </row>
    <row r="34" spans="1:5" ht="16.5" customHeight="1">
      <c r="A34" s="24">
        <v>46186</v>
      </c>
      <c r="B34" s="3">
        <v>32</v>
      </c>
      <c r="C34" s="11" t="s">
        <v>50</v>
      </c>
      <c r="D34" s="5">
        <v>5813157</v>
      </c>
      <c r="E34" s="6" t="str">
        <f>IF($D34="","",VLOOKUP($D34,기준표!$B$4:$C$12,2,TRUE()))</f>
        <v>8단계</v>
      </c>
    </row>
    <row r="35" spans="1:5" ht="16.5" customHeight="1">
      <c r="A35" s="24">
        <v>46186</v>
      </c>
      <c r="B35" s="3">
        <v>33</v>
      </c>
      <c r="C35" s="11" t="s">
        <v>32</v>
      </c>
      <c r="D35" s="5">
        <v>5275134</v>
      </c>
      <c r="E35" s="6" t="str">
        <f>IF($D35="","",VLOOKUP($D35,기준표!$B$4:$C$12,2,TRUE()))</f>
        <v>8단계</v>
      </c>
    </row>
    <row r="36" spans="1:5" ht="16.5" customHeight="1">
      <c r="A36" s="24">
        <v>46186</v>
      </c>
      <c r="B36" s="3">
        <v>34</v>
      </c>
      <c r="C36" s="11" t="s">
        <v>57</v>
      </c>
      <c r="D36" s="5">
        <v>4876688</v>
      </c>
      <c r="E36" s="6" t="str">
        <f>IF($D36="","",VLOOKUP($D36,기준표!$B$4:$C$12,2,TRUE()))</f>
        <v>8단계</v>
      </c>
    </row>
    <row r="37" spans="1:5" ht="16.5" customHeight="1">
      <c r="A37" s="24">
        <v>46186</v>
      </c>
      <c r="B37" s="3">
        <v>35</v>
      </c>
      <c r="C37" s="11" t="s">
        <v>74</v>
      </c>
      <c r="D37" s="5">
        <v>4842063</v>
      </c>
      <c r="E37" s="6" t="str">
        <f>IF($D37="","",VLOOKUP($D37,기준표!$B$4:$C$12,2,TRUE()))</f>
        <v>8단계</v>
      </c>
    </row>
    <row r="38" spans="1:5" ht="16.5" customHeight="1">
      <c r="A38" s="24">
        <v>46186</v>
      </c>
      <c r="B38" s="3">
        <v>36</v>
      </c>
      <c r="C38" s="11" t="s">
        <v>47</v>
      </c>
      <c r="D38" s="5">
        <v>4668195</v>
      </c>
      <c r="E38" s="6" t="str">
        <f>IF($D38="","",VLOOKUP($D38,기준표!$B$4:$C$12,2,TRUE()))</f>
        <v>8단계</v>
      </c>
    </row>
    <row r="39" spans="1:5" ht="16.5" customHeight="1">
      <c r="A39" s="24">
        <v>46186</v>
      </c>
      <c r="B39" s="3">
        <v>37</v>
      </c>
      <c r="C39" s="11" t="s">
        <v>60</v>
      </c>
      <c r="D39" s="5">
        <v>4616477</v>
      </c>
      <c r="E39" s="6" t="str">
        <f>IF($D39="","",VLOOKUP($D39,기준표!$B$4:$C$12,2,TRUE()))</f>
        <v>8단계</v>
      </c>
    </row>
    <row r="40" spans="1:5" ht="16.5" customHeight="1">
      <c r="A40" s="24">
        <v>46186</v>
      </c>
      <c r="B40" s="3">
        <v>38</v>
      </c>
      <c r="C40" s="11" t="s">
        <v>48</v>
      </c>
      <c r="D40" s="5">
        <v>4498125</v>
      </c>
      <c r="E40" s="6" t="str">
        <f>IF($D40="","",VLOOKUP($D40,기준표!$B$4:$C$12,2,TRUE()))</f>
        <v>8단계</v>
      </c>
    </row>
    <row r="41" spans="1:5" ht="16.5" customHeight="1">
      <c r="A41" s="24">
        <v>46186</v>
      </c>
      <c r="B41" s="3">
        <v>39</v>
      </c>
      <c r="C41" s="11" t="s">
        <v>56</v>
      </c>
      <c r="D41" s="5">
        <v>3687186</v>
      </c>
      <c r="E41" s="6" t="str">
        <f>IF($D41="","",VLOOKUP($D41,기준표!$B$4:$C$12,2,TRUE()))</f>
        <v>8단계</v>
      </c>
    </row>
    <row r="42" spans="1:5" ht="16.5" customHeight="1">
      <c r="A42" s="24">
        <v>46186</v>
      </c>
      <c r="B42" s="3">
        <v>40</v>
      </c>
      <c r="C42" s="11" t="s">
        <v>68</v>
      </c>
      <c r="D42" s="5">
        <v>3611227</v>
      </c>
      <c r="E42" s="6" t="str">
        <f>IF($D42="","",VLOOKUP($D42,기준표!$B$4:$C$12,2,TRUE()))</f>
        <v>8단계</v>
      </c>
    </row>
    <row r="43" spans="1:5" ht="16.5" customHeight="1">
      <c r="A43" s="24">
        <v>46186</v>
      </c>
      <c r="B43" s="3">
        <v>41</v>
      </c>
      <c r="C43" s="11" t="s">
        <v>106</v>
      </c>
      <c r="D43" s="5">
        <v>3189920</v>
      </c>
      <c r="E43" s="6" t="str">
        <f>IF($D43="","",VLOOKUP($D43,기준표!$B$4:$C$12,2,TRUE()))</f>
        <v>8단계</v>
      </c>
    </row>
    <row r="44" spans="1:5" ht="16.5" customHeight="1">
      <c r="A44" s="24">
        <v>46186</v>
      </c>
      <c r="B44" s="3">
        <v>42</v>
      </c>
      <c r="C44" s="11" t="s">
        <v>54</v>
      </c>
      <c r="D44" s="5">
        <v>3120139</v>
      </c>
      <c r="E44" s="6" t="str">
        <f>IF($D44="","",VLOOKUP($D44,기준표!$B$4:$C$12,2,TRUE()))</f>
        <v>8단계</v>
      </c>
    </row>
    <row r="45" spans="1:5" ht="16.5" customHeight="1">
      <c r="A45" s="24">
        <v>46186</v>
      </c>
      <c r="B45" s="3">
        <v>43</v>
      </c>
      <c r="C45" s="11" t="s">
        <v>107</v>
      </c>
      <c r="D45" s="5">
        <v>3108728</v>
      </c>
      <c r="E45" s="6" t="str">
        <f>IF($D45="","",VLOOKUP($D45,기준표!$B$4:$C$12,2,TRUE()))</f>
        <v>8단계</v>
      </c>
    </row>
    <row r="46" spans="1:5" ht="16.5" customHeight="1">
      <c r="A46" s="24">
        <v>46186</v>
      </c>
      <c r="B46" s="3">
        <v>44</v>
      </c>
      <c r="C46" s="11" t="s">
        <v>77</v>
      </c>
      <c r="D46" s="5">
        <v>3077202</v>
      </c>
      <c r="E46" s="6" t="str">
        <f>IF($D46="","",VLOOKUP($D46,기준표!$B$4:$C$12,2,TRUE()))</f>
        <v>8단계</v>
      </c>
    </row>
    <row r="47" spans="1:5" ht="16.5" customHeight="1">
      <c r="A47" s="24">
        <v>46186</v>
      </c>
      <c r="B47" s="3">
        <v>45</v>
      </c>
      <c r="C47" s="11" t="s">
        <v>61</v>
      </c>
      <c r="D47" s="5">
        <v>2968639</v>
      </c>
      <c r="E47" s="6" t="str">
        <f>IF($D47="","",VLOOKUP($D47,기준표!$B$4:$C$12,2,TRUE()))</f>
        <v>8단계</v>
      </c>
    </row>
    <row r="48" spans="1:5" ht="16.5" customHeight="1">
      <c r="A48" s="24">
        <v>46186</v>
      </c>
      <c r="B48" s="3">
        <v>46</v>
      </c>
      <c r="C48" s="11" t="s">
        <v>108</v>
      </c>
      <c r="D48" s="5">
        <v>2968603</v>
      </c>
      <c r="E48" s="6" t="str">
        <f>IF($D48="","",VLOOKUP($D48,기준표!$B$4:$C$12,2,TRUE()))</f>
        <v>8단계</v>
      </c>
    </row>
    <row r="49" spans="1:5" ht="16.5" customHeight="1">
      <c r="A49" s="24">
        <v>46186</v>
      </c>
      <c r="B49" s="3">
        <v>47</v>
      </c>
      <c r="C49" s="11" t="s">
        <v>109</v>
      </c>
      <c r="D49" s="5">
        <v>2953979</v>
      </c>
      <c r="E49" s="6" t="str">
        <f>IF($D49="","",VLOOKUP($D49,기준표!$B$4:$C$12,2,TRUE()))</f>
        <v>8단계</v>
      </c>
    </row>
    <row r="50" spans="1:5" ht="16.5" customHeight="1">
      <c r="A50" s="24">
        <v>46186</v>
      </c>
      <c r="B50" s="3">
        <v>48</v>
      </c>
      <c r="C50" s="8" t="s">
        <v>79</v>
      </c>
      <c r="D50" s="5">
        <v>2772649</v>
      </c>
      <c r="E50" s="6" t="str">
        <f>IF($D50="","",VLOOKUP($D50,기준표!$B$4:$C$12,2,TRUE()))</f>
        <v>8단계</v>
      </c>
    </row>
    <row r="51" spans="1:5" ht="16.5" customHeight="1">
      <c r="A51" s="24">
        <v>46186</v>
      </c>
      <c r="B51" s="3">
        <v>49</v>
      </c>
      <c r="C51" s="11" t="s">
        <v>27</v>
      </c>
      <c r="D51" s="5">
        <v>2738331</v>
      </c>
      <c r="E51" s="6" t="str">
        <f>IF($D51="","",VLOOKUP($D51,기준표!$B$4:$C$12,2,TRUE()))</f>
        <v>8단계</v>
      </c>
    </row>
    <row r="52" spans="1:5" ht="16.5" customHeight="1">
      <c r="A52" s="24">
        <v>46186</v>
      </c>
      <c r="B52" s="3">
        <v>50</v>
      </c>
      <c r="C52" s="11" t="s">
        <v>72</v>
      </c>
      <c r="D52" s="5">
        <v>2460723</v>
      </c>
      <c r="E52" s="6" t="str">
        <f>IF($D52="","",VLOOKUP($D52,기준표!$B$4:$C$12,2,TRUE()))</f>
        <v>7단계</v>
      </c>
    </row>
    <row r="53" spans="1:5" ht="16.5" customHeight="1">
      <c r="A53" s="24">
        <v>46186</v>
      </c>
      <c r="B53" s="3">
        <v>51</v>
      </c>
      <c r="C53" s="11" t="s">
        <v>67</v>
      </c>
      <c r="D53" s="5">
        <v>2165388</v>
      </c>
      <c r="E53" s="6" t="str">
        <f>IF($D53="","",VLOOKUP($D53,기준표!$B$4:$C$12,2,TRUE()))</f>
        <v>6단계</v>
      </c>
    </row>
    <row r="54" spans="1:5" ht="16.5" customHeight="1">
      <c r="A54" s="24">
        <v>46186</v>
      </c>
      <c r="B54" s="3">
        <v>52</v>
      </c>
      <c r="C54" s="11" t="s">
        <v>90</v>
      </c>
      <c r="D54" s="5">
        <v>2028076</v>
      </c>
      <c r="E54" s="6" t="str">
        <f>IF($D54="","",VLOOKUP($D54,기준표!$B$4:$C$12,2,TRUE()))</f>
        <v>6단계</v>
      </c>
    </row>
    <row r="55" spans="1:5" ht="16.5" customHeight="1">
      <c r="A55" s="24">
        <v>46186</v>
      </c>
      <c r="B55" s="3">
        <v>53</v>
      </c>
      <c r="C55" s="11" t="s">
        <v>110</v>
      </c>
      <c r="D55" s="5">
        <v>1829852</v>
      </c>
      <c r="E55" s="6" t="str">
        <f>IF($D55="","",VLOOKUP($D55,기준표!$B$4:$C$12,2,TRUE()))</f>
        <v>6단계</v>
      </c>
    </row>
    <row r="56" spans="1:5" ht="16.5" customHeight="1">
      <c r="A56" s="24">
        <v>46186</v>
      </c>
      <c r="B56" s="3">
        <v>54</v>
      </c>
      <c r="C56" s="11" t="s">
        <v>71</v>
      </c>
      <c r="D56" s="5">
        <v>1765395</v>
      </c>
      <c r="E56" s="6" t="str">
        <f>IF($D56="","",VLOOKUP($D56,기준표!$B$4:$C$12,2,TRUE()))</f>
        <v>6단계</v>
      </c>
    </row>
    <row r="57" spans="1:5" ht="16.5" customHeight="1">
      <c r="A57" s="24">
        <v>46186</v>
      </c>
      <c r="B57" s="3">
        <v>55</v>
      </c>
      <c r="C57" s="11" t="s">
        <v>81</v>
      </c>
      <c r="D57" s="5">
        <v>1693947</v>
      </c>
      <c r="E57" s="6" t="str">
        <f>IF($D57="","",VLOOKUP($D57,기준표!$B$4:$C$12,2,TRUE()))</f>
        <v>6단계</v>
      </c>
    </row>
    <row r="58" spans="1:5" ht="16.5" customHeight="1">
      <c r="A58" s="24">
        <v>46186</v>
      </c>
      <c r="B58" s="3">
        <v>56</v>
      </c>
      <c r="C58" s="11" t="s">
        <v>111</v>
      </c>
      <c r="D58" s="5">
        <v>1288077</v>
      </c>
      <c r="E58" s="6" t="str">
        <f>IF($D58="","",VLOOKUP($D58,기준표!$B$4:$C$12,2,TRUE()))</f>
        <v>6단계</v>
      </c>
    </row>
    <row r="59" spans="1:5" ht="16.5" customHeight="1">
      <c r="A59" s="24">
        <v>46186</v>
      </c>
      <c r="B59" s="3">
        <v>57</v>
      </c>
      <c r="C59" s="11" t="s">
        <v>66</v>
      </c>
      <c r="D59" s="5">
        <v>1207196</v>
      </c>
      <c r="E59" s="6" t="str">
        <f>IF($D59="","",VLOOKUP($D59,기준표!$B$4:$C$12,2,TRUE()))</f>
        <v>6단계</v>
      </c>
    </row>
    <row r="60" spans="1:5" ht="16.5" customHeight="1">
      <c r="A60" s="24">
        <v>46186</v>
      </c>
      <c r="B60" s="3">
        <v>58</v>
      </c>
      <c r="C60" s="11" t="s">
        <v>84</v>
      </c>
      <c r="D60" s="5">
        <v>963718</v>
      </c>
      <c r="E60" s="6" t="str">
        <f>IF($D60="","",VLOOKUP($D60,기준표!$B$4:$C$12,2,TRUE()))</f>
        <v>5단계</v>
      </c>
    </row>
    <row r="61" spans="1:5" ht="16.5" customHeight="1">
      <c r="A61" s="24">
        <v>46186</v>
      </c>
      <c r="B61" s="3">
        <v>59</v>
      </c>
      <c r="C61" s="11" t="s">
        <v>83</v>
      </c>
      <c r="D61" s="5">
        <v>700489</v>
      </c>
      <c r="E61" s="6" t="str">
        <f>IF($D61="","",VLOOKUP($D61,기준표!$B$4:$C$12,2,TRUE()))</f>
        <v>5단계</v>
      </c>
    </row>
    <row r="62" spans="1:5" ht="16.5" customHeight="1">
      <c r="A62" s="24">
        <v>46186</v>
      </c>
      <c r="B62" s="3">
        <v>60</v>
      </c>
      <c r="C62" s="11" t="s">
        <v>76</v>
      </c>
      <c r="D62" s="5">
        <v>659256</v>
      </c>
      <c r="E62" s="6" t="str">
        <f>IF($D62="","",VLOOKUP($D62,기준표!$B$4:$C$12,2,TRUE()))</f>
        <v>5단계</v>
      </c>
    </row>
    <row r="63" spans="1:5" ht="16.5" customHeight="1">
      <c r="A63" s="24">
        <v>46186</v>
      </c>
      <c r="B63" s="3">
        <v>61</v>
      </c>
      <c r="C63" s="11" t="s">
        <v>85</v>
      </c>
      <c r="D63" s="5">
        <v>384395</v>
      </c>
      <c r="E63" s="6" t="str">
        <f>IF($D63="","",VLOOKUP($D63,기준표!$B$4:$C$12,2,TRUE()))</f>
        <v>3단계</v>
      </c>
    </row>
    <row r="64" spans="1:5" ht="16.5" customHeight="1">
      <c r="A64" s="24">
        <v>46186</v>
      </c>
      <c r="B64" s="3">
        <v>62</v>
      </c>
      <c r="C64" s="11" t="s">
        <v>112</v>
      </c>
      <c r="D64" s="5">
        <v>327964</v>
      </c>
      <c r="E64" s="6" t="str">
        <f>IF($D64="","",VLOOKUP($D64,기준표!$B$4:$C$12,2,TRUE()))</f>
        <v>3단계</v>
      </c>
    </row>
    <row r="65" spans="1:5" ht="16.5" customHeight="1">
      <c r="A65" s="24">
        <v>46186</v>
      </c>
      <c r="B65" s="3">
        <v>63</v>
      </c>
      <c r="C65" s="11" t="s">
        <v>86</v>
      </c>
      <c r="D65" s="5">
        <v>266932</v>
      </c>
      <c r="E65" s="6" t="str">
        <f>IF($D65="","",VLOOKUP($D65,기준표!$B$4:$C$12,2,TRUE()))</f>
        <v>3단계</v>
      </c>
    </row>
    <row r="66" spans="1:5" ht="16.5" customHeight="1">
      <c r="A66" s="24">
        <v>46186</v>
      </c>
      <c r="B66" s="3">
        <v>64</v>
      </c>
      <c r="C66" s="11" t="s">
        <v>113</v>
      </c>
      <c r="D66" s="5">
        <v>89508</v>
      </c>
      <c r="E66" s="6" t="str">
        <f>IF($D66="","",VLOOKUP($D66,기준표!$B$4:$C$12,2,TRUE()))</f>
        <v>2단계</v>
      </c>
    </row>
    <row r="67" spans="1:5" ht="16.5" customHeight="1">
      <c r="A67" s="3" t="s">
        <v>1</v>
      </c>
      <c r="B67" s="3">
        <v>1</v>
      </c>
      <c r="C67" s="4" t="s">
        <v>9</v>
      </c>
      <c r="D67" s="5">
        <v>76513151</v>
      </c>
      <c r="E67" s="6" t="str">
        <f>IF($D67="","",VLOOKUP($D67,기준표!$B$4:$C$12,2,TRUE()))</f>
        <v>9단계</v>
      </c>
    </row>
    <row r="68" spans="1:5" ht="16.5" customHeight="1">
      <c r="A68" s="3" t="s">
        <v>1</v>
      </c>
      <c r="B68" s="3">
        <v>2</v>
      </c>
      <c r="C68" s="8" t="s">
        <v>11</v>
      </c>
      <c r="D68" s="5">
        <v>62254586</v>
      </c>
      <c r="E68" s="6" t="str">
        <f>IF($D68="","",VLOOKUP($D68,기준표!$B$4:$C$12,2,TRUE()))</f>
        <v>9단계</v>
      </c>
    </row>
    <row r="69" spans="1:5" ht="16.5" customHeight="1">
      <c r="A69" s="3" t="s">
        <v>1</v>
      </c>
      <c r="B69" s="3">
        <v>3</v>
      </c>
      <c r="C69" s="4" t="s">
        <v>13</v>
      </c>
      <c r="D69" s="5">
        <v>36598969</v>
      </c>
      <c r="E69" s="6" t="str">
        <f>IF($D69="","",VLOOKUP($D69,기준표!$B$4:$C$12,2,TRUE()))</f>
        <v>9단계</v>
      </c>
    </row>
    <row r="70" spans="1:5" ht="16.5" customHeight="1">
      <c r="A70" s="3" t="s">
        <v>1</v>
      </c>
      <c r="B70" s="3">
        <v>4</v>
      </c>
      <c r="C70" s="4" t="s">
        <v>15</v>
      </c>
      <c r="D70" s="5">
        <v>26859795</v>
      </c>
      <c r="E70" s="6" t="str">
        <f>IF($D70="","",VLOOKUP($D70,기준표!$B$4:$C$12,2,TRUE()))</f>
        <v>9단계</v>
      </c>
    </row>
    <row r="71" spans="1:5" ht="16.5" customHeight="1">
      <c r="A71" s="3" t="s">
        <v>1</v>
      </c>
      <c r="B71" s="3">
        <v>5</v>
      </c>
      <c r="C71" s="4" t="s">
        <v>17</v>
      </c>
      <c r="D71" s="5">
        <v>22027625</v>
      </c>
      <c r="E71" s="6" t="str">
        <f>IF($D71="","",VLOOKUP($D71,기준표!$B$4:$C$12,2,TRUE()))</f>
        <v>9단계</v>
      </c>
    </row>
    <row r="72" spans="1:5" ht="16.5" customHeight="1">
      <c r="A72" s="3" t="s">
        <v>1</v>
      </c>
      <c r="B72" s="3">
        <v>6</v>
      </c>
      <c r="C72" s="4" t="s">
        <v>19</v>
      </c>
      <c r="D72" s="5">
        <v>19336746</v>
      </c>
      <c r="E72" s="6" t="str">
        <f>IF($D72="","",VLOOKUP($D72,기준표!$B$4:$C$12,2,TRUE()))</f>
        <v>9단계</v>
      </c>
    </row>
    <row r="73" spans="1:5" ht="16.5" customHeight="1">
      <c r="A73" s="3" t="s">
        <v>1</v>
      </c>
      <c r="B73" s="3">
        <v>7</v>
      </c>
      <c r="C73" s="8" t="s">
        <v>21</v>
      </c>
      <c r="D73" s="5">
        <v>17008882</v>
      </c>
      <c r="E73" s="6" t="str">
        <f>IF($D73="","",VLOOKUP($D73,기준표!$B$4:$C$12,2,TRUE()))</f>
        <v>9단계</v>
      </c>
    </row>
    <row r="74" spans="1:5" ht="16.5" customHeight="1">
      <c r="A74" s="3" t="s">
        <v>1</v>
      </c>
      <c r="B74" s="3">
        <v>8</v>
      </c>
      <c r="C74" s="4" t="s">
        <v>23</v>
      </c>
      <c r="D74" s="5">
        <v>16620269</v>
      </c>
      <c r="E74" s="6" t="str">
        <f>IF($D74="","",VLOOKUP($D74,기준표!$B$4:$C$12,2,TRUE()))</f>
        <v>9단계</v>
      </c>
    </row>
    <row r="75" spans="1:5" ht="16.5" customHeight="1">
      <c r="A75" s="3" t="s">
        <v>1</v>
      </c>
      <c r="B75" s="3">
        <v>9</v>
      </c>
      <c r="C75" s="4" t="s">
        <v>25</v>
      </c>
      <c r="D75" s="5">
        <v>15971399</v>
      </c>
      <c r="E75" s="6" t="str">
        <f>IF($D75="","",VLOOKUP($D75,기준표!$B$4:$C$12,2,TRUE()))</f>
        <v>9단계</v>
      </c>
    </row>
    <row r="76" spans="1:5" ht="16.5" customHeight="1">
      <c r="A76" s="3" t="s">
        <v>1</v>
      </c>
      <c r="B76" s="3">
        <v>10</v>
      </c>
      <c r="C76" s="4" t="s">
        <v>27</v>
      </c>
      <c r="D76" s="5">
        <v>15579579</v>
      </c>
      <c r="E76" s="6" t="str">
        <f>IF($D76="","",VLOOKUP($D76,기준표!$B$4:$C$12,2,TRUE()))</f>
        <v>9단계</v>
      </c>
    </row>
    <row r="77" spans="1:5" ht="16.5" customHeight="1">
      <c r="A77" s="3" t="s">
        <v>1</v>
      </c>
      <c r="B77" s="3">
        <v>11</v>
      </c>
      <c r="C77" s="4" t="s">
        <v>29</v>
      </c>
      <c r="D77" s="5">
        <v>15166835</v>
      </c>
      <c r="E77" s="6" t="str">
        <f>IF($D77="","",VLOOKUP($D77,기준표!$B$4:$C$12,2,TRUE()))</f>
        <v>9단계</v>
      </c>
    </row>
    <row r="78" spans="1:5" ht="16.5" customHeight="1">
      <c r="A78" s="3" t="s">
        <v>1</v>
      </c>
      <c r="B78" s="3">
        <v>12</v>
      </c>
      <c r="C78" s="4" t="s">
        <v>31</v>
      </c>
      <c r="D78" s="5">
        <v>15136017</v>
      </c>
      <c r="E78" s="6" t="str">
        <f>IF($D78="","",VLOOKUP($D78,기준표!$B$4:$C$12,2,TRUE()))</f>
        <v>9단계</v>
      </c>
    </row>
    <row r="79" spans="1:5" ht="16.5" customHeight="1">
      <c r="A79" s="3" t="s">
        <v>1</v>
      </c>
      <c r="B79" s="3">
        <v>13</v>
      </c>
      <c r="C79" s="4" t="s">
        <v>32</v>
      </c>
      <c r="D79" s="5">
        <v>15045625</v>
      </c>
      <c r="E79" s="6" t="str">
        <f>IF($D79="","",VLOOKUP($D79,기준표!$B$4:$C$12,2,TRUE()))</f>
        <v>9단계</v>
      </c>
    </row>
    <row r="80" spans="1:5" ht="16.5" customHeight="1">
      <c r="A80" s="3" t="s">
        <v>1</v>
      </c>
      <c r="B80" s="3">
        <v>14</v>
      </c>
      <c r="C80" s="4" t="s">
        <v>33</v>
      </c>
      <c r="D80" s="5">
        <v>11929975</v>
      </c>
      <c r="E80" s="6" t="str">
        <f>IF($D80="","",VLOOKUP($D80,기준표!$B$4:$C$12,2,TRUE()))</f>
        <v>9단계</v>
      </c>
    </row>
    <row r="81" spans="1:5" ht="16.5" customHeight="1">
      <c r="A81" s="3" t="s">
        <v>1</v>
      </c>
      <c r="B81" s="3">
        <v>15</v>
      </c>
      <c r="C81" s="4" t="s">
        <v>34</v>
      </c>
      <c r="D81" s="5">
        <v>11703867</v>
      </c>
      <c r="E81" s="6" t="str">
        <f>IF($D81="","",VLOOKUP($D81,기준표!$B$4:$C$12,2,TRUE()))</f>
        <v>9단계</v>
      </c>
    </row>
    <row r="82" spans="1:5" ht="16.5" customHeight="1">
      <c r="A82" s="3" t="s">
        <v>1</v>
      </c>
      <c r="B82" s="3">
        <v>16</v>
      </c>
      <c r="C82" s="4" t="s">
        <v>35</v>
      </c>
      <c r="D82" s="5">
        <v>11641804</v>
      </c>
      <c r="E82" s="6" t="str">
        <f>IF($D82="","",VLOOKUP($D82,기준표!$B$4:$C$12,2,TRUE()))</f>
        <v>9단계</v>
      </c>
    </row>
    <row r="83" spans="1:5" ht="16.5" customHeight="1">
      <c r="A83" s="3" t="s">
        <v>1</v>
      </c>
      <c r="B83" s="3">
        <v>17</v>
      </c>
      <c r="C83" s="4" t="s">
        <v>36</v>
      </c>
      <c r="D83" s="5">
        <v>11224132</v>
      </c>
      <c r="E83" s="6" t="str">
        <f>IF($D83="","",VLOOKUP($D83,기준표!$B$4:$C$12,2,TRUE()))</f>
        <v>9단계</v>
      </c>
    </row>
    <row r="84" spans="1:5" ht="16.5" customHeight="1">
      <c r="A84" s="3" t="s">
        <v>1</v>
      </c>
      <c r="B84" s="3">
        <v>18</v>
      </c>
      <c r="C84" s="4" t="s">
        <v>37</v>
      </c>
      <c r="D84" s="5">
        <v>11128193</v>
      </c>
      <c r="E84" s="6" t="str">
        <f>IF($D84="","",VLOOKUP($D84,기준표!$B$4:$C$12,2,TRUE()))</f>
        <v>9단계</v>
      </c>
    </row>
    <row r="85" spans="1:5" ht="16.5" customHeight="1">
      <c r="A85" s="3" t="s">
        <v>1</v>
      </c>
      <c r="B85" s="3">
        <v>19</v>
      </c>
      <c r="C85" s="4" t="s">
        <v>38</v>
      </c>
      <c r="D85" s="5">
        <v>10907771</v>
      </c>
      <c r="E85" s="6" t="str">
        <f>IF($D85="","",VLOOKUP($D85,기준표!$B$4:$C$12,2,TRUE()))</f>
        <v>9단계</v>
      </c>
    </row>
    <row r="86" spans="1:5" ht="16.5" customHeight="1">
      <c r="A86" s="3" t="s">
        <v>1</v>
      </c>
      <c r="B86" s="3">
        <v>20</v>
      </c>
      <c r="C86" s="4" t="s">
        <v>39</v>
      </c>
      <c r="D86" s="5">
        <v>10606882</v>
      </c>
      <c r="E86" s="6" t="str">
        <f>IF($D86="","",VLOOKUP($D86,기준표!$B$4:$C$12,2,TRUE()))</f>
        <v>9단계</v>
      </c>
    </row>
    <row r="87" spans="1:5" ht="16.5" customHeight="1">
      <c r="A87" s="3" t="s">
        <v>1</v>
      </c>
      <c r="B87" s="3">
        <v>21</v>
      </c>
      <c r="C87" s="4" t="s">
        <v>40</v>
      </c>
      <c r="D87" s="5">
        <v>10422796</v>
      </c>
      <c r="E87" s="6" t="str">
        <f>IF($D87="","",VLOOKUP($D87,기준표!$B$4:$C$12,2,TRUE()))</f>
        <v>9단계</v>
      </c>
    </row>
    <row r="88" spans="1:5" ht="16.5" customHeight="1">
      <c r="A88" s="3" t="s">
        <v>1</v>
      </c>
      <c r="B88" s="3">
        <v>22</v>
      </c>
      <c r="C88" s="4" t="s">
        <v>41</v>
      </c>
      <c r="D88" s="5">
        <v>10412768</v>
      </c>
      <c r="E88" s="6" t="str">
        <f>IF($D88="","",VLOOKUP($D88,기준표!$B$4:$C$12,2,TRUE()))</f>
        <v>9단계</v>
      </c>
    </row>
    <row r="89" spans="1:5" ht="16.5" customHeight="1">
      <c r="A89" s="3" t="s">
        <v>1</v>
      </c>
      <c r="B89" s="3">
        <v>23</v>
      </c>
      <c r="C89" s="4" t="s">
        <v>42</v>
      </c>
      <c r="D89" s="5">
        <v>10128124</v>
      </c>
      <c r="E89" s="6" t="str">
        <f>IF($D89="","",VLOOKUP($D89,기준표!$B$4:$C$12,2,TRUE()))</f>
        <v>9단계</v>
      </c>
    </row>
    <row r="90" spans="1:5" ht="16.5" customHeight="1">
      <c r="A90" s="3" t="s">
        <v>1</v>
      </c>
      <c r="B90" s="3">
        <v>24</v>
      </c>
      <c r="C90" s="4" t="s">
        <v>43</v>
      </c>
      <c r="D90" s="5">
        <v>9706739</v>
      </c>
      <c r="E90" s="6" t="str">
        <f>IF($D90="","",VLOOKUP($D90,기준표!$B$4:$C$12,2,TRUE()))</f>
        <v>9단계</v>
      </c>
    </row>
    <row r="91" spans="1:5" ht="16.5" customHeight="1">
      <c r="A91" s="3" t="s">
        <v>1</v>
      </c>
      <c r="B91" s="3">
        <v>25</v>
      </c>
      <c r="C91" s="4" t="s">
        <v>44</v>
      </c>
      <c r="D91" s="5">
        <v>9164119</v>
      </c>
      <c r="E91" s="6" t="str">
        <f>IF($D91="","",VLOOKUP($D91,기준표!$B$4:$C$12,2,TRUE()))</f>
        <v>9단계</v>
      </c>
    </row>
    <row r="92" spans="1:5" ht="16.5" customHeight="1">
      <c r="A92" s="3" t="s">
        <v>1</v>
      </c>
      <c r="B92" s="3">
        <v>26</v>
      </c>
      <c r="C92" s="4" t="s">
        <v>45</v>
      </c>
      <c r="D92" s="5">
        <v>8999382</v>
      </c>
      <c r="E92" s="6" t="str">
        <f>IF($D92="","",VLOOKUP($D92,기준표!$B$4:$C$12,2,TRUE()))</f>
        <v>9단계</v>
      </c>
    </row>
    <row r="93" spans="1:5" ht="16.5" customHeight="1">
      <c r="A93" s="3" t="s">
        <v>1</v>
      </c>
      <c r="B93" s="3">
        <v>27</v>
      </c>
      <c r="C93" s="4" t="s">
        <v>46</v>
      </c>
      <c r="D93" s="5">
        <v>8596217</v>
      </c>
      <c r="E93" s="6" t="str">
        <f>IF($D93="","",VLOOKUP($D93,기준표!$B$4:$C$12,2,TRUE()))</f>
        <v>9단계</v>
      </c>
    </row>
    <row r="94" spans="1:5" ht="16.5" customHeight="1">
      <c r="A94" s="3" t="s">
        <v>1</v>
      </c>
      <c r="B94" s="3">
        <v>28</v>
      </c>
      <c r="C94" s="4" t="s">
        <v>47</v>
      </c>
      <c r="D94" s="5">
        <v>8456726</v>
      </c>
      <c r="E94" s="6" t="str">
        <f>IF($D94="","",VLOOKUP($D94,기준표!$B$4:$C$12,2,TRUE()))</f>
        <v>9단계</v>
      </c>
    </row>
    <row r="95" spans="1:5" ht="16.5" customHeight="1">
      <c r="A95" s="3" t="s">
        <v>1</v>
      </c>
      <c r="B95" s="3">
        <v>29</v>
      </c>
      <c r="C95" s="4" t="s">
        <v>48</v>
      </c>
      <c r="D95" s="5">
        <v>8220352</v>
      </c>
      <c r="E95" s="6" t="str">
        <f>IF($D95="","",VLOOKUP($D95,기준표!$B$4:$C$12,2,TRUE()))</f>
        <v>9단계</v>
      </c>
    </row>
    <row r="96" spans="1:5" ht="16.5" customHeight="1">
      <c r="A96" s="3" t="s">
        <v>1</v>
      </c>
      <c r="B96" s="3">
        <v>30</v>
      </c>
      <c r="C96" s="4" t="s">
        <v>49</v>
      </c>
      <c r="D96" s="5">
        <v>8154156</v>
      </c>
      <c r="E96" s="6" t="str">
        <f>IF($D96="","",VLOOKUP($D96,기준표!$B$4:$C$12,2,TRUE()))</f>
        <v>9단계</v>
      </c>
    </row>
    <row r="97" spans="1:5" ht="16.5" customHeight="1">
      <c r="A97" s="3" t="s">
        <v>1</v>
      </c>
      <c r="B97" s="3">
        <v>31</v>
      </c>
      <c r="C97" s="4" t="s">
        <v>50</v>
      </c>
      <c r="D97" s="5">
        <v>8127020</v>
      </c>
      <c r="E97" s="6" t="str">
        <f>IF($D97="","",VLOOKUP($D97,기준표!$B$4:$C$12,2,TRUE()))</f>
        <v>9단계</v>
      </c>
    </row>
    <row r="98" spans="1:5" ht="16.5" customHeight="1">
      <c r="A98" s="3" t="s">
        <v>1</v>
      </c>
      <c r="B98" s="3">
        <v>32</v>
      </c>
      <c r="C98" s="4" t="s">
        <v>51</v>
      </c>
      <c r="D98" s="5">
        <v>7952273</v>
      </c>
      <c r="E98" s="6" t="str">
        <f>IF($D98="","",VLOOKUP($D98,기준표!$B$4:$C$12,2,TRUE()))</f>
        <v>9단계</v>
      </c>
    </row>
    <row r="99" spans="1:5" ht="16.5" customHeight="1">
      <c r="A99" s="3" t="s">
        <v>1</v>
      </c>
      <c r="B99" s="3">
        <v>33</v>
      </c>
      <c r="C99" s="4" t="s">
        <v>52</v>
      </c>
      <c r="D99" s="5">
        <v>7918857</v>
      </c>
      <c r="E99" s="6" t="str">
        <f>IF($D99="","",VLOOKUP($D99,기준표!$B$4:$C$12,2,TRUE()))</f>
        <v>9단계</v>
      </c>
    </row>
    <row r="100" spans="1:5" ht="16.5" customHeight="1">
      <c r="A100" s="3" t="s">
        <v>1</v>
      </c>
      <c r="B100" s="3">
        <v>34</v>
      </c>
      <c r="C100" s="4" t="s">
        <v>53</v>
      </c>
      <c r="D100" s="5">
        <v>7909501</v>
      </c>
      <c r="E100" s="6" t="str">
        <f>IF($D100="","",VLOOKUP($D100,기준표!$B$4:$C$12,2,TRUE()))</f>
        <v>9단계</v>
      </c>
    </row>
    <row r="101" spans="1:5" ht="16.5" customHeight="1">
      <c r="A101" s="3" t="s">
        <v>1</v>
      </c>
      <c r="B101" s="3">
        <v>35</v>
      </c>
      <c r="C101" s="4" t="s">
        <v>54</v>
      </c>
      <c r="D101" s="5">
        <v>7876636</v>
      </c>
      <c r="E101" s="6" t="str">
        <f>IF($D101="","",VLOOKUP($D101,기준표!$B$4:$C$12,2,TRUE()))</f>
        <v>9단계</v>
      </c>
    </row>
    <row r="102" spans="1:5" ht="16.5" customHeight="1">
      <c r="A102" s="3" t="s">
        <v>1</v>
      </c>
      <c r="B102" s="3">
        <v>36</v>
      </c>
      <c r="C102" s="4" t="s">
        <v>55</v>
      </c>
      <c r="D102" s="5">
        <v>7824653</v>
      </c>
      <c r="E102" s="6" t="str">
        <f>IF($D102="","",VLOOKUP($D102,기준표!$B$4:$C$12,2,TRUE()))</f>
        <v>9단계</v>
      </c>
    </row>
    <row r="103" spans="1:5" ht="16.5" customHeight="1">
      <c r="A103" s="3" t="s">
        <v>1</v>
      </c>
      <c r="B103" s="3">
        <v>37</v>
      </c>
      <c r="C103" s="4" t="s">
        <v>56</v>
      </c>
      <c r="D103" s="5">
        <v>7823884</v>
      </c>
      <c r="E103" s="6" t="str">
        <f>IF($D103="","",VLOOKUP($D103,기준표!$B$4:$C$12,2,TRUE()))</f>
        <v>9단계</v>
      </c>
    </row>
    <row r="104" spans="1:5" ht="16.5" customHeight="1">
      <c r="A104" s="3" t="s">
        <v>1</v>
      </c>
      <c r="B104" s="3">
        <v>38</v>
      </c>
      <c r="C104" s="4" t="s">
        <v>57</v>
      </c>
      <c r="D104" s="5">
        <v>7679597</v>
      </c>
      <c r="E104" s="6" t="str">
        <f>IF($D104="","",VLOOKUP($D104,기준표!$B$4:$C$12,2,TRUE()))</f>
        <v>9단계</v>
      </c>
    </row>
    <row r="105" spans="1:5" ht="16.5" customHeight="1">
      <c r="A105" s="3" t="s">
        <v>1</v>
      </c>
      <c r="B105" s="3">
        <v>39</v>
      </c>
      <c r="C105" s="4" t="s">
        <v>58</v>
      </c>
      <c r="D105" s="5">
        <v>7635056</v>
      </c>
      <c r="E105" s="6" t="str">
        <f>IF($D105="","",VLOOKUP($D105,기준표!$B$4:$C$12,2,TRUE()))</f>
        <v>9단계</v>
      </c>
    </row>
    <row r="106" spans="1:5" ht="16.5" customHeight="1">
      <c r="A106" s="3" t="s">
        <v>1</v>
      </c>
      <c r="B106" s="3">
        <v>40</v>
      </c>
      <c r="C106" s="4" t="s">
        <v>59</v>
      </c>
      <c r="D106" s="5">
        <v>7579677</v>
      </c>
      <c r="E106" s="6" t="str">
        <f>IF($D106="","",VLOOKUP($D106,기준표!$B$4:$C$12,2,TRUE()))</f>
        <v>9단계</v>
      </c>
    </row>
    <row r="107" spans="1:5" ht="16.5" customHeight="1">
      <c r="A107" s="3" t="s">
        <v>1</v>
      </c>
      <c r="B107" s="3">
        <v>41</v>
      </c>
      <c r="C107" s="4" t="s">
        <v>60</v>
      </c>
      <c r="D107" s="5">
        <v>7552044</v>
      </c>
      <c r="E107" s="6" t="str">
        <f>IF($D107="","",VLOOKUP($D107,기준표!$B$4:$C$12,2,TRUE()))</f>
        <v>9단계</v>
      </c>
    </row>
    <row r="108" spans="1:5" ht="16.5" customHeight="1">
      <c r="A108" s="3" t="s">
        <v>1</v>
      </c>
      <c r="B108" s="3">
        <v>42</v>
      </c>
      <c r="C108" s="4" t="s">
        <v>61</v>
      </c>
      <c r="D108" s="5">
        <v>7462230</v>
      </c>
      <c r="E108" s="6" t="str">
        <f>IF($D108="","",VLOOKUP($D108,기준표!$B$4:$C$12,2,TRUE()))</f>
        <v>9단계</v>
      </c>
    </row>
    <row r="109" spans="1:5" ht="16.5" customHeight="1">
      <c r="A109" s="3" t="s">
        <v>1</v>
      </c>
      <c r="B109" s="3">
        <v>43</v>
      </c>
      <c r="C109" s="4" t="s">
        <v>62</v>
      </c>
      <c r="D109" s="5">
        <v>7423633</v>
      </c>
      <c r="E109" s="6" t="str">
        <f>IF($D109="","",VLOOKUP($D109,기준표!$B$4:$C$12,2,TRUE()))</f>
        <v>9단계</v>
      </c>
    </row>
    <row r="110" spans="1:5" ht="16.5" customHeight="1">
      <c r="A110" s="3" t="s">
        <v>1</v>
      </c>
      <c r="B110" s="3">
        <v>44</v>
      </c>
      <c r="C110" s="4" t="s">
        <v>63</v>
      </c>
      <c r="D110" s="5">
        <v>7327050</v>
      </c>
      <c r="E110" s="6" t="str">
        <f>IF($D110="","",VLOOKUP($D110,기준표!$B$4:$C$12,2,TRUE()))</f>
        <v>9단계</v>
      </c>
    </row>
    <row r="111" spans="1:5" ht="16.5" customHeight="1">
      <c r="A111" s="3" t="s">
        <v>1</v>
      </c>
      <c r="B111" s="3">
        <v>45</v>
      </c>
      <c r="C111" s="4" t="s">
        <v>64</v>
      </c>
      <c r="D111" s="5">
        <v>6678842</v>
      </c>
      <c r="E111" s="6" t="str">
        <f>IF($D111="","",VLOOKUP($D111,기준표!$B$4:$C$12,2,TRUE()))</f>
        <v>8단계</v>
      </c>
    </row>
    <row r="112" spans="1:5" ht="16.5" customHeight="1">
      <c r="A112" s="3" t="s">
        <v>1</v>
      </c>
      <c r="B112" s="3">
        <v>46</v>
      </c>
      <c r="C112" s="4" t="s">
        <v>65</v>
      </c>
      <c r="D112" s="5">
        <v>6177989</v>
      </c>
      <c r="E112" s="6" t="str">
        <f>IF($D112="","",VLOOKUP($D112,기준표!$B$4:$C$12,2,TRUE()))</f>
        <v>8단계</v>
      </c>
    </row>
    <row r="113" spans="1:5" ht="16.5" customHeight="1">
      <c r="A113" s="3" t="s">
        <v>1</v>
      </c>
      <c r="B113" s="3">
        <v>47</v>
      </c>
      <c r="C113" s="4" t="s">
        <v>66</v>
      </c>
      <c r="D113" s="5">
        <v>5901298</v>
      </c>
      <c r="E113" s="6" t="str">
        <f>IF($D113="","",VLOOKUP($D113,기준표!$B$4:$C$12,2,TRUE()))</f>
        <v>8단계</v>
      </c>
    </row>
    <row r="114" spans="1:5" ht="16.5" customHeight="1">
      <c r="A114" s="3" t="s">
        <v>1</v>
      </c>
      <c r="B114" s="3">
        <v>48</v>
      </c>
      <c r="C114" s="4" t="s">
        <v>67</v>
      </c>
      <c r="D114" s="5">
        <v>5097585</v>
      </c>
      <c r="E114" s="6" t="str">
        <f>IF($D114="","",VLOOKUP($D114,기준표!$B$4:$C$12,2,TRUE()))</f>
        <v>8단계</v>
      </c>
    </row>
    <row r="115" spans="1:5" ht="16.5" customHeight="1">
      <c r="A115" s="3" t="s">
        <v>1</v>
      </c>
      <c r="B115" s="3">
        <v>49</v>
      </c>
      <c r="C115" s="4" t="s">
        <v>68</v>
      </c>
      <c r="D115" s="5">
        <v>5036088</v>
      </c>
      <c r="E115" s="6" t="str">
        <f>IF($D115="","",VLOOKUP($D115,기준표!$B$4:$C$12,2,TRUE()))</f>
        <v>8단계</v>
      </c>
    </row>
    <row r="116" spans="1:5" ht="16.5" customHeight="1">
      <c r="A116" s="3" t="s">
        <v>1</v>
      </c>
      <c r="B116" s="3">
        <v>50</v>
      </c>
      <c r="C116" s="4" t="s">
        <v>69</v>
      </c>
      <c r="D116" s="5">
        <v>4821347</v>
      </c>
      <c r="E116" s="6" t="str">
        <f>IF($D116="","",VLOOKUP($D116,기준표!$B$4:$C$12,2,TRUE()))</f>
        <v>8단계</v>
      </c>
    </row>
    <row r="117" spans="1:5" ht="16.5" customHeight="1">
      <c r="A117" s="3" t="s">
        <v>1</v>
      </c>
      <c r="B117" s="3">
        <v>51</v>
      </c>
      <c r="C117" s="4" t="s">
        <v>70</v>
      </c>
      <c r="D117" s="5">
        <v>4599953</v>
      </c>
      <c r="E117" s="6" t="str">
        <f>IF($D117="","",VLOOKUP($D117,기준표!$B$4:$C$12,2,TRUE()))</f>
        <v>8단계</v>
      </c>
    </row>
    <row r="118" spans="1:5" ht="16.5" customHeight="1">
      <c r="A118" s="3" t="s">
        <v>1</v>
      </c>
      <c r="B118" s="3">
        <v>52</v>
      </c>
      <c r="C118" s="4" t="s">
        <v>71</v>
      </c>
      <c r="D118" s="5">
        <v>4332112</v>
      </c>
      <c r="E118" s="6" t="str">
        <f>IF($D118="","",VLOOKUP($D118,기준표!$B$4:$C$12,2,TRUE()))</f>
        <v>8단계</v>
      </c>
    </row>
    <row r="119" spans="1:5" ht="16.5" customHeight="1">
      <c r="A119" s="3" t="s">
        <v>1</v>
      </c>
      <c r="B119" s="3">
        <v>53</v>
      </c>
      <c r="C119" s="4" t="s">
        <v>72</v>
      </c>
      <c r="D119" s="5">
        <v>4235009</v>
      </c>
      <c r="E119" s="6" t="str">
        <f>IF($D119="","",VLOOKUP($D119,기준표!$B$4:$C$12,2,TRUE()))</f>
        <v>8단계</v>
      </c>
    </row>
    <row r="120" spans="1:5" ht="16.5" customHeight="1">
      <c r="A120" s="3" t="s">
        <v>1</v>
      </c>
      <c r="B120" s="3">
        <v>54</v>
      </c>
      <c r="C120" s="4" t="s">
        <v>73</v>
      </c>
      <c r="D120" s="5">
        <v>4226803</v>
      </c>
      <c r="E120" s="6" t="str">
        <f>IF($D120="","",VLOOKUP($D120,기준표!$B$4:$C$12,2,TRUE()))</f>
        <v>8단계</v>
      </c>
    </row>
    <row r="121" spans="1:5" ht="16.5" customHeight="1">
      <c r="A121" s="3" t="s">
        <v>1</v>
      </c>
      <c r="B121" s="3">
        <v>55</v>
      </c>
      <c r="C121" s="4" t="s">
        <v>74</v>
      </c>
      <c r="D121" s="5">
        <v>3992666</v>
      </c>
      <c r="E121" s="6" t="str">
        <f>IF($D121="","",VLOOKUP($D121,기준표!$B$4:$C$12,2,TRUE()))</f>
        <v>8단계</v>
      </c>
    </row>
    <row r="122" spans="1:5" ht="16.5" customHeight="1">
      <c r="A122" s="3" t="s">
        <v>1</v>
      </c>
      <c r="B122" s="3">
        <v>56</v>
      </c>
      <c r="C122" s="4" t="s">
        <v>75</v>
      </c>
      <c r="D122" s="5">
        <v>3935236</v>
      </c>
      <c r="E122" s="6" t="str">
        <f>IF($D122="","",VLOOKUP($D122,기준표!$B$4:$C$12,2,TRUE()))</f>
        <v>8단계</v>
      </c>
    </row>
    <row r="123" spans="1:5" ht="16.5" customHeight="1">
      <c r="A123" s="3" t="s">
        <v>1</v>
      </c>
      <c r="B123" s="3">
        <v>57</v>
      </c>
      <c r="C123" s="4" t="s">
        <v>76</v>
      </c>
      <c r="D123" s="5">
        <v>3819189</v>
      </c>
      <c r="E123" s="6" t="str">
        <f>IF($D123="","",VLOOKUP($D123,기준표!$B$4:$C$12,2,TRUE()))</f>
        <v>8단계</v>
      </c>
    </row>
    <row r="124" spans="1:5" ht="16.5" customHeight="1">
      <c r="A124" s="3" t="s">
        <v>1</v>
      </c>
      <c r="B124" s="3">
        <v>58</v>
      </c>
      <c r="C124" s="4" t="s">
        <v>77</v>
      </c>
      <c r="D124" s="5">
        <v>2896389</v>
      </c>
      <c r="E124" s="6" t="str">
        <f>IF($D124="","",VLOOKUP($D124,기준표!$B$4:$C$12,2,TRUE()))</f>
        <v>8단계</v>
      </c>
    </row>
    <row r="125" spans="1:5" ht="16.5" customHeight="1">
      <c r="A125" s="3" t="s">
        <v>1</v>
      </c>
      <c r="B125" s="3">
        <v>59</v>
      </c>
      <c r="C125" s="4" t="s">
        <v>78</v>
      </c>
      <c r="D125" s="5">
        <v>2645896</v>
      </c>
      <c r="E125" s="6" t="str">
        <f>IF($D125="","",VLOOKUP($D125,기준표!$B$4:$C$12,2,TRUE()))</f>
        <v>8단계</v>
      </c>
    </row>
    <row r="126" spans="1:5" ht="16.5" customHeight="1">
      <c r="A126" s="3" t="s">
        <v>1</v>
      </c>
      <c r="B126" s="3">
        <v>60</v>
      </c>
      <c r="C126" s="8" t="s">
        <v>79</v>
      </c>
      <c r="D126" s="5">
        <v>2195612</v>
      </c>
      <c r="E126" s="6" t="str">
        <f>IF($D126="","",VLOOKUP($D126,기준표!$B$4:$C$12,2,TRUE()))</f>
        <v>6단계</v>
      </c>
    </row>
    <row r="127" spans="1:5" ht="16.5" customHeight="1">
      <c r="A127" s="3" t="s">
        <v>1</v>
      </c>
      <c r="B127" s="3">
        <v>61</v>
      </c>
      <c r="C127" s="4" t="s">
        <v>80</v>
      </c>
      <c r="D127" s="5">
        <v>1908787</v>
      </c>
      <c r="E127" s="6" t="str">
        <f>IF($D127="","",VLOOKUP($D127,기준표!$B$4:$C$12,2,TRUE()))</f>
        <v>6단계</v>
      </c>
    </row>
    <row r="128" spans="1:5" ht="16.5" customHeight="1">
      <c r="A128" s="3" t="s">
        <v>1</v>
      </c>
      <c r="B128" s="3">
        <v>62</v>
      </c>
      <c r="C128" s="4" t="s">
        <v>81</v>
      </c>
      <c r="D128" s="5">
        <v>1890847</v>
      </c>
      <c r="E128" s="6" t="str">
        <f>IF($D128="","",VLOOKUP($D128,기준표!$B$4:$C$12,2,TRUE()))</f>
        <v>6단계</v>
      </c>
    </row>
    <row r="129" spans="1:5" ht="16.5" customHeight="1">
      <c r="A129" s="3" t="s">
        <v>1</v>
      </c>
      <c r="B129" s="3">
        <v>63</v>
      </c>
      <c r="C129" s="4" t="s">
        <v>82</v>
      </c>
      <c r="D129" s="5">
        <v>1772463</v>
      </c>
      <c r="E129" s="6" t="str">
        <f>IF($D129="","",VLOOKUP($D129,기준표!$B$4:$C$12,2,TRUE()))</f>
        <v>6단계</v>
      </c>
    </row>
    <row r="130" spans="1:5" ht="16.5" customHeight="1">
      <c r="A130" s="3" t="s">
        <v>1</v>
      </c>
      <c r="B130" s="3">
        <v>64</v>
      </c>
      <c r="C130" s="4" t="s">
        <v>83</v>
      </c>
      <c r="D130" s="5">
        <v>1472500</v>
      </c>
      <c r="E130" s="6" t="str">
        <f>IF($D130="","",VLOOKUP($D130,기준표!$B$4:$C$12,2,TRUE()))</f>
        <v>6단계</v>
      </c>
    </row>
    <row r="131" spans="1:5" ht="16.5" customHeight="1">
      <c r="A131" s="3" t="s">
        <v>1</v>
      </c>
      <c r="B131" s="3">
        <v>65</v>
      </c>
      <c r="C131" s="4" t="s">
        <v>84</v>
      </c>
      <c r="D131" s="5">
        <v>1425274</v>
      </c>
      <c r="E131" s="6" t="str">
        <f>IF($D131="","",VLOOKUP($D131,기준표!$B$4:$C$12,2,TRUE()))</f>
        <v>6단계</v>
      </c>
    </row>
    <row r="132" spans="1:5" ht="16.5" customHeight="1">
      <c r="A132" s="3" t="s">
        <v>1</v>
      </c>
      <c r="B132" s="3">
        <v>66</v>
      </c>
      <c r="C132" s="4" t="s">
        <v>85</v>
      </c>
      <c r="D132" s="5">
        <v>1226829</v>
      </c>
      <c r="E132" s="6" t="str">
        <f>IF($D132="","",VLOOKUP($D132,기준표!$B$4:$C$12,2,TRUE()))</f>
        <v>6단계</v>
      </c>
    </row>
    <row r="133" spans="1:5" ht="16.5" customHeight="1">
      <c r="A133" s="3" t="s">
        <v>1</v>
      </c>
      <c r="B133" s="3">
        <v>67</v>
      </c>
      <c r="C133" s="4" t="s">
        <v>86</v>
      </c>
      <c r="D133" s="5">
        <v>460000</v>
      </c>
      <c r="E133" s="6" t="str">
        <f>IF($D133="","",VLOOKUP($D133,기준표!$B$4:$C$12,2,TRUE()))</f>
        <v>3단계</v>
      </c>
    </row>
    <row r="134" spans="1:5" ht="16.5" customHeight="1">
      <c r="A134" s="3" t="s">
        <v>87</v>
      </c>
      <c r="B134" s="3">
        <v>1</v>
      </c>
      <c r="C134" s="4" t="s">
        <v>9</v>
      </c>
      <c r="D134" s="5">
        <v>76513151</v>
      </c>
      <c r="E134" s="6" t="str">
        <f>IF($D134="","",VLOOKUP($D134,기준표!$B$4:$C$12,2,TRUE()))</f>
        <v>9단계</v>
      </c>
    </row>
    <row r="135" spans="1:5" ht="16.5" customHeight="1">
      <c r="A135" s="3" t="s">
        <v>87</v>
      </c>
      <c r="B135" s="3">
        <v>2</v>
      </c>
      <c r="C135" s="8" t="s">
        <v>11</v>
      </c>
      <c r="D135" s="5">
        <v>62254586</v>
      </c>
      <c r="E135" s="6" t="str">
        <f>IF($D135="","",VLOOKUP($D135,기준표!$B$4:$C$12,2,TRUE()))</f>
        <v>9단계</v>
      </c>
    </row>
    <row r="136" spans="1:5" ht="16.5" customHeight="1">
      <c r="A136" s="3" t="s">
        <v>87</v>
      </c>
      <c r="B136" s="3">
        <v>3</v>
      </c>
      <c r="C136" s="4" t="s">
        <v>13</v>
      </c>
      <c r="D136" s="5">
        <v>36598969</v>
      </c>
      <c r="E136" s="6" t="str">
        <f>IF($D136="","",VLOOKUP($D136,기준표!$B$4:$C$12,2,TRUE()))</f>
        <v>9단계</v>
      </c>
    </row>
    <row r="137" spans="1:5" ht="16.5">
      <c r="A137" s="3" t="s">
        <v>87</v>
      </c>
      <c r="B137" s="3">
        <v>4</v>
      </c>
      <c r="C137" s="4" t="s">
        <v>15</v>
      </c>
      <c r="D137" s="5">
        <v>26859795</v>
      </c>
      <c r="E137" s="6" t="str">
        <f>IF($D137="","",VLOOKUP($D137,기준표!$B$4:$C$12,2,TRUE()))</f>
        <v>9단계</v>
      </c>
    </row>
    <row r="138" spans="1:5" ht="16.5">
      <c r="A138" s="3" t="s">
        <v>87</v>
      </c>
      <c r="B138" s="3">
        <v>5</v>
      </c>
      <c r="C138" s="4" t="s">
        <v>17</v>
      </c>
      <c r="D138" s="5">
        <v>22027625</v>
      </c>
      <c r="E138" s="6" t="str">
        <f>IF($D138="","",VLOOKUP($D138,기준표!$B$4:$C$12,2,TRUE()))</f>
        <v>9단계</v>
      </c>
    </row>
    <row r="139" spans="1:5" ht="16.5">
      <c r="A139" s="3" t="s">
        <v>87</v>
      </c>
      <c r="B139" s="3">
        <v>6</v>
      </c>
      <c r="C139" s="4" t="s">
        <v>19</v>
      </c>
      <c r="D139" s="5">
        <v>19336746</v>
      </c>
      <c r="E139" s="6" t="str">
        <f>IF($D139="","",VLOOKUP($D139,기준표!$B$4:$C$12,2,TRUE()))</f>
        <v>9단계</v>
      </c>
    </row>
    <row r="140" spans="1:5" ht="16.5">
      <c r="A140" s="3" t="s">
        <v>87</v>
      </c>
      <c r="B140" s="3">
        <v>7</v>
      </c>
      <c r="C140" s="8" t="s">
        <v>21</v>
      </c>
      <c r="D140" s="5">
        <v>17008882</v>
      </c>
      <c r="E140" s="6" t="str">
        <f>IF($D140="","",VLOOKUP($D140,기준표!$B$4:$C$12,2,TRUE()))</f>
        <v>9단계</v>
      </c>
    </row>
    <row r="141" spans="1:5" ht="16.5">
      <c r="A141" s="3" t="s">
        <v>87</v>
      </c>
      <c r="B141" s="3">
        <v>8</v>
      </c>
      <c r="C141" s="4" t="s">
        <v>23</v>
      </c>
      <c r="D141" s="5">
        <v>16620269</v>
      </c>
      <c r="E141" s="6" t="str">
        <f>IF($D141="","",VLOOKUP($D141,기준표!$B$4:$C$12,2,TRUE()))</f>
        <v>9단계</v>
      </c>
    </row>
    <row r="142" spans="1:5" ht="16.5">
      <c r="A142" s="3" t="s">
        <v>87</v>
      </c>
      <c r="B142" s="3">
        <v>9</v>
      </c>
      <c r="C142" s="4" t="s">
        <v>25</v>
      </c>
      <c r="D142" s="5">
        <v>15971399</v>
      </c>
      <c r="E142" s="6" t="str">
        <f>IF($D142="","",VLOOKUP($D142,기준표!$B$4:$C$12,2,TRUE()))</f>
        <v>9단계</v>
      </c>
    </row>
    <row r="143" spans="1:5" ht="16.5">
      <c r="A143" s="3" t="s">
        <v>87</v>
      </c>
      <c r="B143" s="3">
        <v>10</v>
      </c>
      <c r="C143" s="4" t="s">
        <v>27</v>
      </c>
      <c r="D143" s="5">
        <v>15579579</v>
      </c>
      <c r="E143" s="6" t="str">
        <f>IF($D143="","",VLOOKUP($D143,기준표!$B$4:$C$12,2,TRUE()))</f>
        <v>9단계</v>
      </c>
    </row>
    <row r="144" spans="1:5" ht="16.5">
      <c r="A144" s="3" t="s">
        <v>87</v>
      </c>
      <c r="B144" s="3">
        <v>11</v>
      </c>
      <c r="C144" s="4" t="s">
        <v>29</v>
      </c>
      <c r="D144" s="5">
        <v>15166835</v>
      </c>
      <c r="E144" s="6" t="str">
        <f>IF($D144="","",VLOOKUP($D144,기준표!$B$4:$C$12,2,TRUE()))</f>
        <v>9단계</v>
      </c>
    </row>
    <row r="145" spans="1:5" ht="16.5">
      <c r="A145" s="3" t="s">
        <v>87</v>
      </c>
      <c r="B145" s="3">
        <v>12</v>
      </c>
      <c r="C145" s="4" t="s">
        <v>31</v>
      </c>
      <c r="D145" s="5">
        <v>15136017</v>
      </c>
      <c r="E145" s="6" t="str">
        <f>IF($D145="","",VLOOKUP($D145,기준표!$B$4:$C$12,2,TRUE()))</f>
        <v>9단계</v>
      </c>
    </row>
    <row r="146" spans="1:5" ht="16.5">
      <c r="A146" s="3" t="s">
        <v>87</v>
      </c>
      <c r="B146" s="3">
        <v>13</v>
      </c>
      <c r="C146" s="4" t="s">
        <v>32</v>
      </c>
      <c r="D146" s="5">
        <v>15045625</v>
      </c>
      <c r="E146" s="6" t="str">
        <f>IF($D146="","",VLOOKUP($D146,기준표!$B$4:$C$12,2,TRUE()))</f>
        <v>9단계</v>
      </c>
    </row>
    <row r="147" spans="1:5" ht="16.5">
      <c r="A147" s="3" t="s">
        <v>87</v>
      </c>
      <c r="B147" s="3">
        <v>14</v>
      </c>
      <c r="C147" s="4" t="s">
        <v>33</v>
      </c>
      <c r="D147" s="5">
        <v>11929975</v>
      </c>
      <c r="E147" s="6" t="str">
        <f>IF($D147="","",VLOOKUP($D147,기준표!$B$4:$C$12,2,TRUE()))</f>
        <v>9단계</v>
      </c>
    </row>
    <row r="148" spans="1:5" ht="16.5">
      <c r="A148" s="3" t="s">
        <v>87</v>
      </c>
      <c r="B148" s="3">
        <v>15</v>
      </c>
      <c r="C148" s="4" t="s">
        <v>34</v>
      </c>
      <c r="D148" s="5">
        <v>11703867</v>
      </c>
      <c r="E148" s="6" t="str">
        <f>IF($D148="","",VLOOKUP($D148,기준표!$B$4:$C$12,2,TRUE()))</f>
        <v>9단계</v>
      </c>
    </row>
    <row r="149" spans="1:5" ht="16.5">
      <c r="A149" s="3" t="s">
        <v>87</v>
      </c>
      <c r="B149" s="3">
        <v>16</v>
      </c>
      <c r="C149" s="4" t="s">
        <v>35</v>
      </c>
      <c r="D149" s="5">
        <v>11641804</v>
      </c>
      <c r="E149" s="6" t="str">
        <f>IF($D149="","",VLOOKUP($D149,기준표!$B$4:$C$12,2,TRUE()))</f>
        <v>9단계</v>
      </c>
    </row>
    <row r="150" spans="1:5" ht="16.5">
      <c r="A150" s="3" t="s">
        <v>87</v>
      </c>
      <c r="B150" s="3">
        <v>17</v>
      </c>
      <c r="C150" s="4" t="s">
        <v>36</v>
      </c>
      <c r="D150" s="5">
        <v>11224132</v>
      </c>
      <c r="E150" s="6" t="str">
        <f>IF($D150="","",VLOOKUP($D150,기준표!$B$4:$C$12,2,TRUE()))</f>
        <v>9단계</v>
      </c>
    </row>
    <row r="151" spans="1:5" ht="16.5">
      <c r="A151" s="3" t="s">
        <v>87</v>
      </c>
      <c r="B151" s="3">
        <v>18</v>
      </c>
      <c r="C151" s="4" t="s">
        <v>37</v>
      </c>
      <c r="D151" s="5">
        <v>11128193</v>
      </c>
      <c r="E151" s="6" t="str">
        <f>IF($D151="","",VLOOKUP($D151,기준표!$B$4:$C$12,2,TRUE()))</f>
        <v>9단계</v>
      </c>
    </row>
    <row r="152" spans="1:5" ht="16.5">
      <c r="A152" s="3" t="s">
        <v>87</v>
      </c>
      <c r="B152" s="3">
        <v>19</v>
      </c>
      <c r="C152" s="4" t="s">
        <v>38</v>
      </c>
      <c r="D152" s="5">
        <v>10907771</v>
      </c>
      <c r="E152" s="6" t="str">
        <f>IF($D152="","",VLOOKUP($D152,기준표!$B$4:$C$12,2,TRUE()))</f>
        <v>9단계</v>
      </c>
    </row>
    <row r="153" spans="1:5" ht="16.5">
      <c r="A153" s="3" t="s">
        <v>87</v>
      </c>
      <c r="B153" s="3">
        <v>20</v>
      </c>
      <c r="C153" s="4" t="s">
        <v>39</v>
      </c>
      <c r="D153" s="5">
        <v>10606882</v>
      </c>
      <c r="E153" s="6" t="str">
        <f>IF($D153="","",VLOOKUP($D153,기준표!$B$4:$C$12,2,TRUE()))</f>
        <v>9단계</v>
      </c>
    </row>
    <row r="154" spans="1:5" ht="16.5">
      <c r="A154" s="3" t="s">
        <v>87</v>
      </c>
      <c r="B154" s="3">
        <v>21</v>
      </c>
      <c r="C154" s="4" t="s">
        <v>40</v>
      </c>
      <c r="D154" s="5">
        <v>10422796</v>
      </c>
      <c r="E154" s="6" t="str">
        <f>IF($D154="","",VLOOKUP($D154,기준표!$B$4:$C$12,2,TRUE()))</f>
        <v>9단계</v>
      </c>
    </row>
    <row r="155" spans="1:5" ht="16.5">
      <c r="A155" s="3" t="s">
        <v>87</v>
      </c>
      <c r="B155" s="3">
        <v>22</v>
      </c>
      <c r="C155" s="4" t="s">
        <v>41</v>
      </c>
      <c r="D155" s="5">
        <v>10412768</v>
      </c>
      <c r="E155" s="6" t="str">
        <f>IF($D155="","",VLOOKUP($D155,기준표!$B$4:$C$12,2,TRUE()))</f>
        <v>9단계</v>
      </c>
    </row>
    <row r="156" spans="1:5" ht="16.5">
      <c r="A156" s="3" t="s">
        <v>87</v>
      </c>
      <c r="B156" s="3">
        <v>23</v>
      </c>
      <c r="C156" s="4" t="s">
        <v>42</v>
      </c>
      <c r="D156" s="5">
        <v>10128124</v>
      </c>
      <c r="E156" s="6" t="str">
        <f>IF($D156="","",VLOOKUP($D156,기준표!$B$4:$C$12,2,TRUE()))</f>
        <v>9단계</v>
      </c>
    </row>
    <row r="157" spans="1:5" ht="16.5">
      <c r="A157" s="3" t="s">
        <v>87</v>
      </c>
      <c r="B157" s="3">
        <v>24</v>
      </c>
      <c r="C157" s="4" t="s">
        <v>43</v>
      </c>
      <c r="D157" s="5">
        <v>9706739</v>
      </c>
      <c r="E157" s="6" t="str">
        <f>IF($D157="","",VLOOKUP($D157,기준표!$B$4:$C$12,2,TRUE()))</f>
        <v>9단계</v>
      </c>
    </row>
    <row r="158" spans="1:5" ht="16.5">
      <c r="A158" s="3" t="s">
        <v>87</v>
      </c>
      <c r="B158" s="3">
        <v>25</v>
      </c>
      <c r="C158" s="4" t="s">
        <v>44</v>
      </c>
      <c r="D158" s="5">
        <v>9164119</v>
      </c>
      <c r="E158" s="6" t="str">
        <f>IF($D158="","",VLOOKUP($D158,기준표!$B$4:$C$12,2,TRUE()))</f>
        <v>9단계</v>
      </c>
    </row>
    <row r="159" spans="1:5" ht="16.5">
      <c r="A159" s="3" t="s">
        <v>87</v>
      </c>
      <c r="B159" s="3">
        <v>26</v>
      </c>
      <c r="C159" s="4" t="s">
        <v>45</v>
      </c>
      <c r="D159" s="5">
        <v>8999382</v>
      </c>
      <c r="E159" s="6" t="str">
        <f>IF($D159="","",VLOOKUP($D159,기준표!$B$4:$C$12,2,TRUE()))</f>
        <v>9단계</v>
      </c>
    </row>
    <row r="160" spans="1:5" ht="16.5">
      <c r="A160" s="3" t="s">
        <v>87</v>
      </c>
      <c r="B160" s="3">
        <v>27</v>
      </c>
      <c r="C160" s="4" t="s">
        <v>46</v>
      </c>
      <c r="D160" s="5">
        <v>8596217</v>
      </c>
      <c r="E160" s="6" t="str">
        <f>IF($D160="","",VLOOKUP($D160,기준표!$B$4:$C$12,2,TRUE()))</f>
        <v>9단계</v>
      </c>
    </row>
    <row r="161" spans="1:5" ht="16.5">
      <c r="A161" s="3" t="s">
        <v>87</v>
      </c>
      <c r="B161" s="3">
        <v>28</v>
      </c>
      <c r="C161" s="4" t="s">
        <v>47</v>
      </c>
      <c r="D161" s="5">
        <v>8456726</v>
      </c>
      <c r="E161" s="6" t="str">
        <f>IF($D161="","",VLOOKUP($D161,기준표!$B$4:$C$12,2,TRUE()))</f>
        <v>9단계</v>
      </c>
    </row>
    <row r="162" spans="1:5" ht="16.5">
      <c r="A162" s="3" t="s">
        <v>87</v>
      </c>
      <c r="B162" s="3">
        <v>29</v>
      </c>
      <c r="C162" s="4" t="s">
        <v>48</v>
      </c>
      <c r="D162" s="5">
        <v>8220352</v>
      </c>
      <c r="E162" s="6" t="str">
        <f>IF($D162="","",VLOOKUP($D162,기준표!$B$4:$C$12,2,TRUE()))</f>
        <v>9단계</v>
      </c>
    </row>
    <row r="163" spans="1:5" ht="16.5">
      <c r="A163" s="3" t="s">
        <v>87</v>
      </c>
      <c r="B163" s="3">
        <v>30</v>
      </c>
      <c r="C163" s="4" t="s">
        <v>49</v>
      </c>
      <c r="D163" s="5">
        <v>8154156</v>
      </c>
      <c r="E163" s="6" t="str">
        <f>IF($D163="","",VLOOKUP($D163,기준표!$B$4:$C$12,2,TRUE()))</f>
        <v>9단계</v>
      </c>
    </row>
    <row r="164" spans="1:5" ht="16.5">
      <c r="A164" s="3" t="s">
        <v>87</v>
      </c>
      <c r="B164" s="3">
        <v>31</v>
      </c>
      <c r="C164" s="4" t="s">
        <v>50</v>
      </c>
      <c r="D164" s="5">
        <v>8127020</v>
      </c>
      <c r="E164" s="6" t="str">
        <f>IF($D164="","",VLOOKUP($D164,기준표!$B$4:$C$12,2,TRUE()))</f>
        <v>9단계</v>
      </c>
    </row>
    <row r="165" spans="1:5" ht="16.5">
      <c r="A165" s="3" t="s">
        <v>87</v>
      </c>
      <c r="B165" s="3">
        <v>32</v>
      </c>
      <c r="C165" s="4" t="s">
        <v>51</v>
      </c>
      <c r="D165" s="5">
        <v>7952273</v>
      </c>
      <c r="E165" s="6" t="str">
        <f>IF($D165="","",VLOOKUP($D165,기준표!$B$4:$C$12,2,TRUE()))</f>
        <v>9단계</v>
      </c>
    </row>
    <row r="166" spans="1:5" ht="16.5">
      <c r="A166" s="3" t="s">
        <v>87</v>
      </c>
      <c r="B166" s="3">
        <v>33</v>
      </c>
      <c r="C166" s="4" t="s">
        <v>52</v>
      </c>
      <c r="D166" s="5">
        <v>7918857</v>
      </c>
      <c r="E166" s="6" t="str">
        <f>IF($D166="","",VLOOKUP($D166,기준표!$B$4:$C$12,2,TRUE()))</f>
        <v>9단계</v>
      </c>
    </row>
    <row r="167" spans="1:5" ht="16.5">
      <c r="A167" s="3" t="s">
        <v>87</v>
      </c>
      <c r="B167" s="3">
        <v>34</v>
      </c>
      <c r="C167" s="4" t="s">
        <v>53</v>
      </c>
      <c r="D167" s="5">
        <v>7909501</v>
      </c>
      <c r="E167" s="6" t="str">
        <f>IF($D167="","",VLOOKUP($D167,기준표!$B$4:$C$12,2,TRUE()))</f>
        <v>9단계</v>
      </c>
    </row>
    <row r="168" spans="1:5" ht="16.5">
      <c r="A168" s="3" t="s">
        <v>87</v>
      </c>
      <c r="B168" s="3">
        <v>35</v>
      </c>
      <c r="C168" s="4" t="s">
        <v>54</v>
      </c>
      <c r="D168" s="5">
        <v>7876636</v>
      </c>
      <c r="E168" s="6" t="str">
        <f>IF($D168="","",VLOOKUP($D168,기준표!$B$4:$C$12,2,TRUE()))</f>
        <v>9단계</v>
      </c>
    </row>
    <row r="169" spans="1:5" ht="16.5">
      <c r="A169" s="3" t="s">
        <v>87</v>
      </c>
      <c r="B169" s="3">
        <v>36</v>
      </c>
      <c r="C169" s="4" t="s">
        <v>55</v>
      </c>
      <c r="D169" s="5">
        <v>7824653</v>
      </c>
      <c r="E169" s="6" t="str">
        <f>IF($D169="","",VLOOKUP($D169,기준표!$B$4:$C$12,2,TRUE()))</f>
        <v>9단계</v>
      </c>
    </row>
    <row r="170" spans="1:5" ht="16.5">
      <c r="A170" s="3" t="s">
        <v>87</v>
      </c>
      <c r="B170" s="3">
        <v>37</v>
      </c>
      <c r="C170" s="4" t="s">
        <v>56</v>
      </c>
      <c r="D170" s="5">
        <v>7823884</v>
      </c>
      <c r="E170" s="6" t="str">
        <f>IF($D170="","",VLOOKUP($D170,기준표!$B$4:$C$12,2,TRUE()))</f>
        <v>9단계</v>
      </c>
    </row>
    <row r="171" spans="1:5" ht="16.5">
      <c r="A171" s="3" t="s">
        <v>87</v>
      </c>
      <c r="B171" s="3">
        <v>38</v>
      </c>
      <c r="C171" s="4" t="s">
        <v>57</v>
      </c>
      <c r="D171" s="5">
        <v>7679597</v>
      </c>
      <c r="E171" s="6" t="str">
        <f>IF($D171="","",VLOOKUP($D171,기준표!$B$4:$C$12,2,TRUE()))</f>
        <v>9단계</v>
      </c>
    </row>
    <row r="172" spans="1:5" ht="16.5">
      <c r="A172" s="3" t="s">
        <v>87</v>
      </c>
      <c r="B172" s="3">
        <v>39</v>
      </c>
      <c r="C172" s="4" t="s">
        <v>58</v>
      </c>
      <c r="D172" s="5">
        <v>7635056</v>
      </c>
      <c r="E172" s="6" t="str">
        <f>IF($D172="","",VLOOKUP($D172,기준표!$B$4:$C$12,2,TRUE()))</f>
        <v>9단계</v>
      </c>
    </row>
    <row r="173" spans="1:5" ht="16.5">
      <c r="A173" s="3" t="s">
        <v>87</v>
      </c>
      <c r="B173" s="3">
        <v>40</v>
      </c>
      <c r="C173" s="4" t="s">
        <v>59</v>
      </c>
      <c r="D173" s="5">
        <v>7579677</v>
      </c>
      <c r="E173" s="6" t="str">
        <f>IF($D173="","",VLOOKUP($D173,기준표!$B$4:$C$12,2,TRUE()))</f>
        <v>9단계</v>
      </c>
    </row>
    <row r="174" spans="1:5" ht="16.5">
      <c r="A174" s="3" t="s">
        <v>87</v>
      </c>
      <c r="B174" s="3">
        <v>41</v>
      </c>
      <c r="C174" s="4" t="s">
        <v>60</v>
      </c>
      <c r="D174" s="5">
        <v>7552044</v>
      </c>
      <c r="E174" s="6" t="str">
        <f>IF($D174="","",VLOOKUP($D174,기준표!$B$4:$C$12,2,TRUE()))</f>
        <v>9단계</v>
      </c>
    </row>
    <row r="175" spans="1:5" ht="16.5">
      <c r="A175" s="3" t="s">
        <v>87</v>
      </c>
      <c r="B175" s="3">
        <v>42</v>
      </c>
      <c r="C175" s="4" t="s">
        <v>61</v>
      </c>
      <c r="D175" s="5">
        <v>7462230</v>
      </c>
      <c r="E175" s="6" t="str">
        <f>IF($D175="","",VLOOKUP($D175,기준표!$B$4:$C$12,2,TRUE()))</f>
        <v>9단계</v>
      </c>
    </row>
    <row r="176" spans="1:5" ht="16.5">
      <c r="A176" s="3" t="s">
        <v>87</v>
      </c>
      <c r="B176" s="3">
        <v>43</v>
      </c>
      <c r="C176" s="4" t="s">
        <v>62</v>
      </c>
      <c r="D176" s="5">
        <v>7423633</v>
      </c>
      <c r="E176" s="6" t="str">
        <f>IF($D176="","",VLOOKUP($D176,기준표!$B$4:$C$12,2,TRUE()))</f>
        <v>9단계</v>
      </c>
    </row>
    <row r="177" spans="1:5" ht="16.5">
      <c r="A177" s="3" t="s">
        <v>87</v>
      </c>
      <c r="B177" s="3">
        <v>44</v>
      </c>
      <c r="C177" s="4" t="s">
        <v>63</v>
      </c>
      <c r="D177" s="5">
        <v>7327050</v>
      </c>
      <c r="E177" s="6" t="str">
        <f>IF($D177="","",VLOOKUP($D177,기준표!$B$4:$C$12,2,TRUE()))</f>
        <v>9단계</v>
      </c>
    </row>
    <row r="178" spans="1:5" ht="16.5">
      <c r="A178" s="3" t="s">
        <v>87</v>
      </c>
      <c r="B178" s="3">
        <v>45</v>
      </c>
      <c r="C178" s="4" t="s">
        <v>64</v>
      </c>
      <c r="D178" s="5">
        <v>6678842</v>
      </c>
      <c r="E178" s="6" t="str">
        <f>IF($D178="","",VLOOKUP($D178,기준표!$B$4:$C$12,2,TRUE()))</f>
        <v>8단계</v>
      </c>
    </row>
    <row r="179" spans="1:5" ht="16.5">
      <c r="A179" s="3" t="s">
        <v>87</v>
      </c>
      <c r="B179" s="3">
        <v>46</v>
      </c>
      <c r="C179" s="4" t="s">
        <v>65</v>
      </c>
      <c r="D179" s="5">
        <v>6177989</v>
      </c>
      <c r="E179" s="6" t="str">
        <f>IF($D179="","",VLOOKUP($D179,기준표!$B$4:$C$12,2,TRUE()))</f>
        <v>8단계</v>
      </c>
    </row>
    <row r="180" spans="1:5" ht="16.5">
      <c r="A180" s="3" t="s">
        <v>87</v>
      </c>
      <c r="B180" s="3">
        <v>47</v>
      </c>
      <c r="C180" s="4" t="s">
        <v>66</v>
      </c>
      <c r="D180" s="5">
        <v>5901298</v>
      </c>
      <c r="E180" s="6" t="str">
        <f>IF($D180="","",VLOOKUP($D180,기준표!$B$4:$C$12,2,TRUE()))</f>
        <v>8단계</v>
      </c>
    </row>
    <row r="181" spans="1:5" ht="16.5">
      <c r="A181" s="3" t="s">
        <v>87</v>
      </c>
      <c r="B181" s="3">
        <v>48</v>
      </c>
      <c r="C181" s="4" t="s">
        <v>67</v>
      </c>
      <c r="D181" s="5">
        <v>5097585</v>
      </c>
      <c r="E181" s="6" t="str">
        <f>IF($D181="","",VLOOKUP($D181,기준표!$B$4:$C$12,2,TRUE()))</f>
        <v>8단계</v>
      </c>
    </row>
    <row r="182" spans="1:5" ht="16.5">
      <c r="A182" s="3" t="s">
        <v>87</v>
      </c>
      <c r="B182" s="3">
        <v>49</v>
      </c>
      <c r="C182" s="4" t="s">
        <v>68</v>
      </c>
      <c r="D182" s="5">
        <v>5036088</v>
      </c>
      <c r="E182" s="6" t="str">
        <f>IF($D182="","",VLOOKUP($D182,기준표!$B$4:$C$12,2,TRUE()))</f>
        <v>8단계</v>
      </c>
    </row>
    <row r="183" spans="1:5" ht="16.5">
      <c r="A183" s="3" t="s">
        <v>87</v>
      </c>
      <c r="B183" s="3">
        <v>50</v>
      </c>
      <c r="C183" s="4" t="s">
        <v>69</v>
      </c>
      <c r="D183" s="5">
        <v>4821347</v>
      </c>
      <c r="E183" s="6" t="str">
        <f>IF($D183="","",VLOOKUP($D183,기준표!$B$4:$C$12,2,TRUE()))</f>
        <v>8단계</v>
      </c>
    </row>
    <row r="184" spans="1:5" ht="16.5">
      <c r="A184" s="3" t="s">
        <v>87</v>
      </c>
      <c r="B184" s="3">
        <v>51</v>
      </c>
      <c r="C184" s="4" t="s">
        <v>70</v>
      </c>
      <c r="D184" s="5">
        <v>4599953</v>
      </c>
      <c r="E184" s="6" t="str">
        <f>IF($D184="","",VLOOKUP($D184,기준표!$B$4:$C$12,2,TRUE()))</f>
        <v>8단계</v>
      </c>
    </row>
    <row r="185" spans="1:5" ht="16.5">
      <c r="A185" s="3" t="s">
        <v>87</v>
      </c>
      <c r="B185" s="3">
        <v>52</v>
      </c>
      <c r="C185" s="4" t="s">
        <v>71</v>
      </c>
      <c r="D185" s="5">
        <v>4332112</v>
      </c>
      <c r="E185" s="6" t="str">
        <f>IF($D185="","",VLOOKUP($D185,기준표!$B$4:$C$12,2,TRUE()))</f>
        <v>8단계</v>
      </c>
    </row>
    <row r="186" spans="1:5" ht="16.5">
      <c r="A186" s="3" t="s">
        <v>87</v>
      </c>
      <c r="B186" s="3">
        <v>53</v>
      </c>
      <c r="C186" s="4" t="s">
        <v>72</v>
      </c>
      <c r="D186" s="5">
        <v>4235009</v>
      </c>
      <c r="E186" s="6" t="str">
        <f>IF($D186="","",VLOOKUP($D186,기준표!$B$4:$C$12,2,TRUE()))</f>
        <v>8단계</v>
      </c>
    </row>
    <row r="187" spans="1:5" ht="16.5">
      <c r="A187" s="3" t="s">
        <v>87</v>
      </c>
      <c r="B187" s="3">
        <v>54</v>
      </c>
      <c r="C187" s="4" t="s">
        <v>73</v>
      </c>
      <c r="D187" s="5">
        <v>4226803</v>
      </c>
      <c r="E187" s="6" t="str">
        <f>IF($D187="","",VLOOKUP($D187,기준표!$B$4:$C$12,2,TRUE()))</f>
        <v>8단계</v>
      </c>
    </row>
    <row r="188" spans="1:5" ht="16.5">
      <c r="A188" s="3" t="s">
        <v>87</v>
      </c>
      <c r="B188" s="3">
        <v>55</v>
      </c>
      <c r="C188" s="4" t="s">
        <v>74</v>
      </c>
      <c r="D188" s="5">
        <v>3992666</v>
      </c>
      <c r="E188" s="6" t="str">
        <f>IF($D188="","",VLOOKUP($D188,기준표!$B$4:$C$12,2,TRUE()))</f>
        <v>8단계</v>
      </c>
    </row>
    <row r="189" spans="1:5" ht="16.5">
      <c r="A189" s="3" t="s">
        <v>87</v>
      </c>
      <c r="B189" s="3">
        <v>56</v>
      </c>
      <c r="C189" s="4" t="s">
        <v>75</v>
      </c>
      <c r="D189" s="5">
        <v>3935236</v>
      </c>
      <c r="E189" s="6" t="str">
        <f>IF($D189="","",VLOOKUP($D189,기준표!$B$4:$C$12,2,TRUE()))</f>
        <v>8단계</v>
      </c>
    </row>
    <row r="190" spans="1:5" ht="16.5">
      <c r="A190" s="3" t="s">
        <v>87</v>
      </c>
      <c r="B190" s="3">
        <v>57</v>
      </c>
      <c r="C190" s="4" t="s">
        <v>76</v>
      </c>
      <c r="D190" s="5">
        <v>3819189</v>
      </c>
      <c r="E190" s="6" t="str">
        <f>IF($D190="","",VLOOKUP($D190,기준표!$B$4:$C$12,2,TRUE()))</f>
        <v>8단계</v>
      </c>
    </row>
    <row r="191" spans="1:5" ht="16.5">
      <c r="A191" s="3" t="s">
        <v>87</v>
      </c>
      <c r="B191" s="3">
        <v>58</v>
      </c>
      <c r="C191" s="4" t="s">
        <v>77</v>
      </c>
      <c r="D191" s="5">
        <v>2896389</v>
      </c>
      <c r="E191" s="6" t="str">
        <f>IF($D191="","",VLOOKUP($D191,기준표!$B$4:$C$12,2,TRUE()))</f>
        <v>8단계</v>
      </c>
    </row>
    <row r="192" spans="1:5" ht="16.5">
      <c r="A192" s="3" t="s">
        <v>87</v>
      </c>
      <c r="B192" s="3">
        <v>59</v>
      </c>
      <c r="C192" s="4" t="s">
        <v>78</v>
      </c>
      <c r="D192" s="5">
        <v>2645896</v>
      </c>
      <c r="E192" s="6" t="str">
        <f>IF($D192="","",VLOOKUP($D192,기준표!$B$4:$C$12,2,TRUE()))</f>
        <v>8단계</v>
      </c>
    </row>
    <row r="193" spans="1:5" ht="16.5">
      <c r="A193" s="3" t="s">
        <v>87</v>
      </c>
      <c r="B193" s="3">
        <v>60</v>
      </c>
      <c r="C193" s="8" t="s">
        <v>79</v>
      </c>
      <c r="D193" s="5">
        <v>2195612</v>
      </c>
      <c r="E193" s="6" t="str">
        <f>IF($D193="","",VLOOKUP($D193,기준표!$B$4:$C$12,2,TRUE()))</f>
        <v>6단계</v>
      </c>
    </row>
    <row r="194" spans="1:5" ht="16.5">
      <c r="A194" s="3" t="s">
        <v>87</v>
      </c>
      <c r="B194" s="3">
        <v>61</v>
      </c>
      <c r="C194" s="4" t="s">
        <v>80</v>
      </c>
      <c r="D194" s="5">
        <v>1908787</v>
      </c>
      <c r="E194" s="6" t="str">
        <f>IF($D194="","",VLOOKUP($D194,기준표!$B$4:$C$12,2,TRUE()))</f>
        <v>6단계</v>
      </c>
    </row>
    <row r="195" spans="1:5" ht="16.5">
      <c r="A195" s="3" t="s">
        <v>87</v>
      </c>
      <c r="B195" s="3">
        <v>62</v>
      </c>
      <c r="C195" s="4" t="s">
        <v>81</v>
      </c>
      <c r="D195" s="5">
        <v>1890847</v>
      </c>
      <c r="E195" s="6" t="str">
        <f>IF($D195="","",VLOOKUP($D195,기준표!$B$4:$C$12,2,TRUE()))</f>
        <v>6단계</v>
      </c>
    </row>
    <row r="196" spans="1:5" ht="16.5">
      <c r="A196" s="3" t="s">
        <v>87</v>
      </c>
      <c r="B196" s="3">
        <v>63</v>
      </c>
      <c r="C196" s="4" t="s">
        <v>82</v>
      </c>
      <c r="D196" s="5">
        <v>1772463</v>
      </c>
      <c r="E196" s="6" t="str">
        <f>IF($D196="","",VLOOKUP($D196,기준표!$B$4:$C$12,2,TRUE()))</f>
        <v>6단계</v>
      </c>
    </row>
    <row r="197" spans="1:5" ht="16.5">
      <c r="A197" s="3" t="s">
        <v>87</v>
      </c>
      <c r="B197" s="3">
        <v>64</v>
      </c>
      <c r="C197" s="4" t="s">
        <v>83</v>
      </c>
      <c r="D197" s="5">
        <v>1472500</v>
      </c>
      <c r="E197" s="6" t="str">
        <f>IF($D197="","",VLOOKUP($D197,기준표!$B$4:$C$12,2,TRUE()))</f>
        <v>6단계</v>
      </c>
    </row>
    <row r="198" spans="1:5" ht="16.5">
      <c r="A198" s="3" t="s">
        <v>87</v>
      </c>
      <c r="B198" s="3">
        <v>65</v>
      </c>
      <c r="C198" s="4" t="s">
        <v>84</v>
      </c>
      <c r="D198" s="5">
        <v>1425274</v>
      </c>
      <c r="E198" s="6" t="str">
        <f>IF($D198="","",VLOOKUP($D198,기준표!$B$4:$C$12,2,TRUE()))</f>
        <v>6단계</v>
      </c>
    </row>
    <row r="199" spans="1:5" ht="16.5">
      <c r="A199" s="3" t="s">
        <v>87</v>
      </c>
      <c r="B199" s="3">
        <v>66</v>
      </c>
      <c r="C199" s="4" t="s">
        <v>85</v>
      </c>
      <c r="D199" s="5">
        <v>1226829</v>
      </c>
      <c r="E199" s="6" t="str">
        <f>IF($D199="","",VLOOKUP($D199,기준표!$B$4:$C$12,2,TRUE()))</f>
        <v>6단계</v>
      </c>
    </row>
    <row r="200" spans="1:5" ht="16.5">
      <c r="A200" s="3" t="s">
        <v>87</v>
      </c>
      <c r="B200" s="3">
        <v>67</v>
      </c>
      <c r="C200" s="4" t="s">
        <v>86</v>
      </c>
      <c r="D200" s="5">
        <v>460000</v>
      </c>
      <c r="E200" s="6" t="str">
        <f>IF($D200="","",VLOOKUP($D200,기준표!$B$4:$C$12,2,TRUE()))</f>
        <v>3단계</v>
      </c>
    </row>
  </sheetData>
  <mergeCells count="1">
    <mergeCell ref="A1:E1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/>
  <cols>
    <col min="1" max="1" width="13" customWidth="1"/>
    <col min="2" max="2" width="6" customWidth="1"/>
    <col min="3" max="3" width="36.85546875" customWidth="1"/>
    <col min="4" max="4" width="11.85546875" customWidth="1"/>
    <col min="5" max="5" width="7.5703125" customWidth="1"/>
  </cols>
  <sheetData>
    <row r="1" spans="1:5" ht="20.25" customHeight="1">
      <c r="A1" s="25" t="s">
        <v>116</v>
      </c>
      <c r="B1" s="25"/>
      <c r="C1" s="25"/>
      <c r="D1" s="25"/>
      <c r="E1" s="25"/>
    </row>
    <row r="2" spans="1:5">
      <c r="A2" s="2" t="s">
        <v>115</v>
      </c>
      <c r="B2" s="2" t="s">
        <v>3</v>
      </c>
      <c r="C2" s="2" t="s">
        <v>4</v>
      </c>
      <c r="D2" s="2" t="s">
        <v>5</v>
      </c>
      <c r="E2" s="2" t="s">
        <v>6</v>
      </c>
    </row>
  </sheetData>
  <mergeCells count="1">
    <mergeCell ref="A1:E1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D14"/>
  <sheetViews>
    <sheetView showGridLines="0" zoomScaleNormal="100" workbookViewId="0">
      <selection activeCell="B4" sqref="B4"/>
    </sheetView>
  </sheetViews>
  <sheetFormatPr defaultColWidth="8.7109375" defaultRowHeight="15"/>
  <cols>
    <col min="2" max="2" width="14" customWidth="1"/>
    <col min="3" max="3" width="10" customWidth="1"/>
    <col min="4" max="4" width="26" customWidth="1"/>
  </cols>
  <sheetData>
    <row r="2" spans="2:4" ht="19.5" customHeight="1">
      <c r="B2" s="28" t="s">
        <v>117</v>
      </c>
      <c r="C2" s="28"/>
      <c r="D2" s="28"/>
    </row>
    <row r="3" spans="2:4">
      <c r="B3" s="12" t="s">
        <v>118</v>
      </c>
      <c r="C3" s="12" t="s">
        <v>6</v>
      </c>
      <c r="D3" s="12" t="s">
        <v>119</v>
      </c>
    </row>
    <row r="4" spans="2:4" ht="16.5" customHeight="1">
      <c r="B4" s="13">
        <v>0</v>
      </c>
      <c r="C4" s="14" t="s">
        <v>26</v>
      </c>
      <c r="D4" s="15" t="s">
        <v>120</v>
      </c>
    </row>
    <row r="5" spans="2:4" ht="16.5" customHeight="1">
      <c r="B5" s="13">
        <v>38001</v>
      </c>
      <c r="C5" s="16" t="s">
        <v>24</v>
      </c>
      <c r="D5" s="15" t="s">
        <v>121</v>
      </c>
    </row>
    <row r="6" spans="2:4" ht="16.5" customHeight="1">
      <c r="B6" s="13">
        <v>145001</v>
      </c>
      <c r="C6" s="17" t="s">
        <v>22</v>
      </c>
      <c r="D6" s="15" t="s">
        <v>122</v>
      </c>
    </row>
    <row r="7" spans="2:4" ht="16.5" customHeight="1">
      <c r="B7" s="13">
        <v>550001</v>
      </c>
      <c r="C7" s="18" t="s">
        <v>20</v>
      </c>
      <c r="D7" s="15" t="s">
        <v>123</v>
      </c>
    </row>
    <row r="8" spans="2:4" ht="16.5" customHeight="1">
      <c r="B8" s="13">
        <v>650001</v>
      </c>
      <c r="C8" s="19" t="s">
        <v>18</v>
      </c>
      <c r="D8" s="15" t="s">
        <v>124</v>
      </c>
    </row>
    <row r="9" spans="2:4" ht="16.5" customHeight="1">
      <c r="B9" s="13">
        <v>1020001</v>
      </c>
      <c r="C9" s="20" t="s">
        <v>16</v>
      </c>
      <c r="D9" s="15" t="s">
        <v>125</v>
      </c>
    </row>
    <row r="10" spans="2:4" ht="16.5" customHeight="1">
      <c r="B10" s="13">
        <v>2280001</v>
      </c>
      <c r="C10" s="21" t="s">
        <v>14</v>
      </c>
      <c r="D10" s="15" t="s">
        <v>126</v>
      </c>
    </row>
    <row r="11" spans="2:4" ht="16.5" customHeight="1">
      <c r="B11" s="13">
        <v>2630001</v>
      </c>
      <c r="C11" s="22" t="s">
        <v>12</v>
      </c>
      <c r="D11" s="15" t="s">
        <v>127</v>
      </c>
    </row>
    <row r="12" spans="2:4" ht="16.5" customHeight="1">
      <c r="B12" s="13">
        <v>7190000</v>
      </c>
      <c r="C12" s="23" t="s">
        <v>10</v>
      </c>
      <c r="D12" s="15" t="s">
        <v>128</v>
      </c>
    </row>
    <row r="14" spans="2:4">
      <c r="B14" s="29" t="s">
        <v>129</v>
      </c>
      <c r="C14" s="29"/>
      <c r="D14" s="29"/>
    </row>
  </sheetData>
  <mergeCells count="2">
    <mergeCell ref="B2:D2"/>
    <mergeCell ref="B14:D14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월요일</vt:lpstr>
      <vt:lpstr>화요일</vt:lpstr>
      <vt:lpstr>수요일</vt:lpstr>
      <vt:lpstr>목요일</vt:lpstr>
      <vt:lpstr>금요일</vt:lpstr>
      <vt:lpstr>토요일</vt:lpstr>
      <vt:lpstr>2026-06</vt:lpstr>
      <vt:lpstr>2026-07</vt:lpstr>
      <vt:lpstr>기준표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민재 조</cp:lastModifiedBy>
  <cp:revision>0</cp:revision>
  <dcterms:created xsi:type="dcterms:W3CDTF">2026-06-16T02:51:52Z</dcterms:created>
  <dcterms:modified xsi:type="dcterms:W3CDTF">2026-06-17T02:24:59Z</dcterms:modified>
  <dc:language>en-US</dc:language>
</cp:coreProperties>
</file>